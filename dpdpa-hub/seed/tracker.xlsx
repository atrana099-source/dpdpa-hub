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6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Gap Register" sheetId="2" state="visible" r:id="rId4"/>
    <sheet name="Action Tracker" sheetId="3" state="visible" r:id="rId5"/>
    <sheet name="Retention Schedule" sheetId="4" state="visible" r:id="rId6"/>
    <sheet name="Retention Rules" sheetId="5" state="visible" r:id="rId7"/>
    <sheet name="ROPA" sheetId="6" state="visible" r:id="rId8"/>
    <sheet name="Departments" sheetId="7" state="visible" r:id="rId9"/>
    <sheet name="Lists" sheetId="8" state="visible" r:id="rId10"/>
  </sheets>
  <definedNames>
    <definedName function="false" hidden="true" localSheetId="2" name="_xlnm._FilterDatabase" vbProcedure="false">'Action Tracker'!$A$4:$N$15</definedName>
    <definedName function="false" hidden="true" localSheetId="1" name="_xlnm._FilterDatabase" vbProcedure="false">'Gap Register'!$A$4:$M$62</definedName>
    <definedName function="false" hidden="true" localSheetId="3" name="_xlnm._FilterDatabase" vbProcedure="false">'Retention Schedule'!$A$4:$O$28</definedName>
    <definedName function="false" hidden="true" localSheetId="5" name="_xlnm._FilterDatabase" vbProcedure="false">ROPA!$A$4:$O$16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<sst xmlns="http://schemas.openxmlformats.org/spreadsheetml/2006/main" count="1476" uniqueCount="719">
  <si>
    <t xml:space="preserve">DPDP Act 2023 Remediation Tracker</t>
  </si>
  <si>
    <t xml:space="preserve">Carzonrent India Pvt Ltd. Built from 13 HOD interviews, 8 to 14 October 2026.</t>
  </si>
  <si>
    <t xml:space="preserve">Programme start date</t>
  </si>
  <si>
    <t xml:space="preserve">Input. Changing it moves every action due date.</t>
  </si>
  <si>
    <t xml:space="preserve">Main DPDP duties start (approx.)</t>
  </si>
  <si>
    <t xml:space="preserve">Input. 18 months from 13 Nov 2025 notification; Legal to confirm.</t>
  </si>
  <si>
    <t xml:space="preserve">Days remaining</t>
  </si>
  <si>
    <t xml:space="preserve">Findings</t>
  </si>
  <si>
    <t xml:space="preserve">Theme</t>
  </si>
  <si>
    <t xml:space="preserve">Gap</t>
  </si>
  <si>
    <t xml:space="preserve">Verify</t>
  </si>
  <si>
    <t xml:space="preserve">Open</t>
  </si>
  <si>
    <t xml:space="preserve">Total findings</t>
  </si>
  <si>
    <t xml:space="preserve">Messaging channels</t>
  </si>
  <si>
    <t xml:space="preserve">Confirmed gaps</t>
  </si>
  <si>
    <t xml:space="preserve">ID masking</t>
  </si>
  <si>
    <t xml:space="preserve">Items to verify</t>
  </si>
  <si>
    <t xml:space="preserve">Local copies</t>
  </si>
  <si>
    <t xml:space="preserve">Closed</t>
  </si>
  <si>
    <t xml:space="preserve">Retention</t>
  </si>
  <si>
    <t xml:space="preserve">Vendor DPAs</t>
  </si>
  <si>
    <t xml:space="preserve">% closed</t>
  </si>
  <si>
    <t xml:space="preserve">Notice &amp; consent</t>
  </si>
  <si>
    <t xml:space="preserve">Cross-border</t>
  </si>
  <si>
    <t xml:space="preserve">Actions</t>
  </si>
  <si>
    <t xml:space="preserve">Sharing &amp; minimisation</t>
  </si>
  <si>
    <t xml:space="preserve">Total actions</t>
  </si>
  <si>
    <t xml:space="preserve">Consent</t>
  </si>
  <si>
    <t xml:space="preserve">Complete</t>
  </si>
  <si>
    <t xml:space="preserve">Physical records</t>
  </si>
  <si>
    <t xml:space="preserve">In progress</t>
  </si>
  <si>
    <t xml:space="preserve">Incident response</t>
  </si>
  <si>
    <t xml:space="preserve">Blocked</t>
  </si>
  <si>
    <t xml:space="preserve">Data accuracy</t>
  </si>
  <si>
    <t xml:space="preserve">Overdue</t>
  </si>
  <si>
    <t xml:space="preserve">Total</t>
  </si>
  <si>
    <t xml:space="preserve">Average % complete</t>
  </si>
  <si>
    <t xml:space="preserve">Departments by preliminary rating</t>
  </si>
  <si>
    <t xml:space="preserve">Critical</t>
  </si>
  <si>
    <t xml:space="preserve">High</t>
  </si>
  <si>
    <t xml:space="preserve">Medium</t>
  </si>
  <si>
    <t xml:space="preserve">Low</t>
  </si>
  <si>
    <t xml:space="preserve">HOD declarations signed</t>
  </si>
  <si>
    <t xml:space="preserve">Retention schedule</t>
  </si>
  <si>
    <t xml:space="preserve">Data categories scheduled</t>
  </si>
  <si>
    <t xml:space="preserve">Approved by Legal</t>
  </si>
  <si>
    <t xml:space="preserve">Implemented in systems</t>
  </si>
  <si>
    <t xml:space="preserve">Statutory floors</t>
  </si>
  <si>
    <t xml:space="preserve">Proposed, no statute found</t>
  </si>
  <si>
    <t xml:space="preserve">How to use</t>
  </si>
  <si>
    <t xml:space="preserve">Blue text on yellow cells are inputs. Everything else calculates.</t>
  </si>
  <si>
    <t xml:space="preserve">Update Status in the Gap Register and Action Tracker; this page recalculates.</t>
  </si>
  <si>
    <t xml:space="preserve">Set a named owner and evidence link on each action. Change a target day on the Action Tracker to re-plan.</t>
  </si>
  <si>
    <t xml:space="preserve">Assumptions and sources are on the Lists sheet. Retention law summary is on the Retention Rules sheet.</t>
  </si>
  <si>
    <t xml:space="preserve">Gap Register</t>
  </si>
  <si>
    <t xml:space="preserve">One row per finding. Yellow cells are for the team to update. Target date comes from the linked action.</t>
  </si>
  <si>
    <t xml:space="preserve">ID</t>
  </si>
  <si>
    <t xml:space="preserve">Department</t>
  </si>
  <si>
    <t xml:space="preserve">Finding</t>
  </si>
  <si>
    <t xml:space="preserve">Type</t>
  </si>
  <si>
    <t xml:space="preserve">Priority</t>
  </si>
  <si>
    <t xml:space="preserve">DPDP reference</t>
  </si>
  <si>
    <t xml:space="preserve">Source</t>
  </si>
  <si>
    <t xml:space="preserve">Action ID</t>
  </si>
  <si>
    <t xml:space="preserve">Status</t>
  </si>
  <si>
    <t xml:space="preserve">Target date</t>
  </si>
  <si>
    <t xml:space="preserve">Named owner</t>
  </si>
  <si>
    <t xml:space="preserve">Evidence / remarks</t>
  </si>
  <si>
    <t xml:space="preserve">G-001</t>
  </si>
  <si>
    <t xml:space="preserve">VRM &amp; Billing</t>
  </si>
  <si>
    <t xml:space="preserve">DL, Aadhaar, RC, insurance and phone numbers collected on personal WhatsApp after hours; allocation shares bookings there at peak.</t>
  </si>
  <si>
    <t xml:space="preserve">s.8(5); Rule 6</t>
  </si>
  <si>
    <t xml:space="preserve">VRM &amp; Billing HOD interview, 08 Oct 2026</t>
  </si>
  <si>
    <t xml:space="preserve">A1</t>
  </si>
  <si>
    <t xml:space="preserve">G-002</t>
  </si>
  <si>
    <t xml:space="preserve">Fleet</t>
  </si>
  <si>
    <t xml:space="preserve">Vendors send KYC documents over WhatsApp as well as through CabPro.</t>
  </si>
  <si>
    <t xml:space="preserve">Fleet HOD interview, 08 Oct 2026</t>
  </si>
  <si>
    <t xml:space="preserve">G-003</t>
  </si>
  <si>
    <t xml:space="preserve">KAM</t>
  </si>
  <si>
    <t xml:space="preserve">Live driver details, passenger numbers and location pins shared in WhatsApp groups with client travel desks.</t>
  </si>
  <si>
    <t xml:space="preserve">KAM HOD interview, 13 Oct 2026</t>
  </si>
  <si>
    <t xml:space="preserve">G-004</t>
  </si>
  <si>
    <t xml:space="preserve">Sales</t>
  </si>
  <si>
    <t xml:space="preserve">Client contacts, driver requirements and booking requests shared on personal WhatsApp.</t>
  </si>
  <si>
    <t xml:space="preserve">Sales HOD interview, 13 Oct 2026</t>
  </si>
  <si>
    <t xml:space="preserve">G-005</t>
  </si>
  <si>
    <t xml:space="preserve">CAT</t>
  </si>
  <si>
    <t xml:space="preserve">Dispatch details and passenger numbers sent to drivers and fleet vendors in WhatsApp groups and chats.</t>
  </si>
  <si>
    <t xml:space="preserve">CAT HOD interview, 12 Oct 2026</t>
  </si>
  <si>
    <t xml:space="preserve">G-006</t>
  </si>
  <si>
    <t xml:space="preserve">Full raw scans of Aadhaar, PAN, agreement, cancelled cheque, MSME and GST held on the Insta portal.</t>
  </si>
  <si>
    <t xml:space="preserve">s.8(5); minimisation; UIDAI</t>
  </si>
  <si>
    <t xml:space="preserve">A2</t>
  </si>
  <si>
    <t xml:space="preserve">G-007</t>
  </si>
  <si>
    <t xml:space="preserve">Unmasked Aadhaar and raw document scans in application databases and backend portals.</t>
  </si>
  <si>
    <t xml:space="preserve">G-008</t>
  </si>
  <si>
    <t xml:space="preserve">HR</t>
  </si>
  <si>
    <t xml:space="preserve">Raw Aadhaar, PAN and bank passbook scans in file folders and Keka uploads.</t>
  </si>
  <si>
    <t xml:space="preserve">HR HOD interview, 14 Oct 2026</t>
  </si>
  <si>
    <t xml:space="preserve">G-009</t>
  </si>
  <si>
    <t xml:space="preserve">Admin</t>
  </si>
  <si>
    <t xml:space="preserve">Answers conflict on whether guards copy visitor and contractor ID proofs.</t>
  </si>
  <si>
    <t xml:space="preserve">Admin HOD interview, 14 Oct 2026</t>
  </si>
  <si>
    <t xml:space="preserve">G-010</t>
  </si>
  <si>
    <t xml:space="preserve">Accounts &amp; Tax</t>
  </si>
  <si>
    <t xml:space="preserve">Aadhaar copies may be attached in billing back-up documents held in the ERP.</t>
  </si>
  <si>
    <t xml:space="preserve">Accounts &amp; Tax HOD interview, 14 Oct 2026</t>
  </si>
  <si>
    <t xml:space="preserve">G-011</t>
  </si>
  <si>
    <t xml:space="preserve">Agents can download full KYC scans to local laptops.</t>
  </si>
  <si>
    <t xml:space="preserve">A3</t>
  </si>
  <si>
    <t xml:space="preserve">G-012</t>
  </si>
  <si>
    <t xml:space="preserve">Payroll reconciliation, bank files, appraisal logs and employee lists stored on laptops.</t>
  </si>
  <si>
    <t xml:space="preserve">G-013</t>
  </si>
  <si>
    <t xml:space="preserve">Client rosters, trip history and VIP files exported to local Excel; leaver risk.</t>
  </si>
  <si>
    <t xml:space="preserve">G-014</t>
  </si>
  <si>
    <t xml:space="preserve">CRM contact lists exportable to Excel; RFPs and pricing held locally; leaver risk.</t>
  </si>
  <si>
    <t xml:space="preserve">G-015</t>
  </si>
  <si>
    <t xml:space="preserve">Vendor, contractor and asset lists stored loose on desktop drives.</t>
  </si>
  <si>
    <t xml:space="preserve">G-016</t>
  </si>
  <si>
    <t xml:space="preserve">Submission</t>
  </si>
  <si>
    <t xml:space="preserve">Raw duty slips and invoices kept on local drives for reconciliation (tracker score 2 of 5).</t>
  </si>
  <si>
    <t xml:space="preserve">Submission HOD interview, 08 Oct 2026</t>
  </si>
  <si>
    <t xml:space="preserve">G-017</t>
  </si>
  <si>
    <t xml:space="preserve">Payout lists, TDS sheets and collection MIS exported to Excel on laptops (tracker score 2 of 5).</t>
  </si>
  <si>
    <t xml:space="preserve">G-018</t>
  </si>
  <si>
    <t xml:space="preserve">Reservations</t>
  </si>
  <si>
    <t xml:space="preserve">Bulk passenger manifests exported to local drives.</t>
  </si>
  <si>
    <t xml:space="preserve">Reservations HOD interview, 12 Oct 2026</t>
  </si>
  <si>
    <t xml:space="preserve">G-019</t>
  </si>
  <si>
    <t xml:space="preserve">View-only access and disabled downloads stated as expected controls; not confirmed.</t>
  </si>
  <si>
    <t xml:space="preserve">G-020</t>
  </si>
  <si>
    <t xml:space="preserve">Collection</t>
  </si>
  <si>
    <t xml:space="preserve">DLP and disabled export claimed; summary says DLP must be enforced. Evidence needed.</t>
  </si>
  <si>
    <t xml:space="preserve">Collection HOD interview, 09 Oct 2026</t>
  </si>
  <si>
    <t xml:space="preserve">G-021</t>
  </si>
  <si>
    <t xml:space="preserve">No purge scripts configured for post-contract driver and vendor data.</t>
  </si>
  <si>
    <t xml:space="preserve">s.8(7); Rule 8</t>
  </si>
  <si>
    <t xml:space="preserve">A6</t>
  </si>
  <si>
    <t xml:space="preserve">G-022</t>
  </si>
  <si>
    <t xml:space="preserve">Rejected resumes and ex-employee profiles kept indefinitely in Keka and local folders.</t>
  </si>
  <si>
    <t xml:space="preserve">G-023</t>
  </si>
  <si>
    <t xml:space="preserve">Client rosters kept indefinitely in email archives and local drives.</t>
  </si>
  <si>
    <t xml:space="preserve">G-024</t>
  </si>
  <si>
    <t xml:space="preserve">Lost leads and RFP contacts kept indefinitely in the CRM.</t>
  </si>
  <si>
    <t xml:space="preserve">G-025</t>
  </si>
  <si>
    <t xml:space="preserve">Visitor logs and CCTV footage kept until storage fills; no purge schedule.</t>
  </si>
  <si>
    <t xml:space="preserve">G-026</t>
  </si>
  <si>
    <t xml:space="preserve">Automated purge after statutory period claimed; VRM says none is configured.</t>
  </si>
  <si>
    <t xml:space="preserve">G-027</t>
  </si>
  <si>
    <t xml:space="preserve">Central retention schedule referenced; not seen. App cache purge stated.</t>
  </si>
  <si>
    <t xml:space="preserve">G-028</t>
  </si>
  <si>
    <t xml:space="preserve">Marketing</t>
  </si>
  <si>
    <t xml:space="preserve">3-month lead validity and auto-suppression claimed; not evidenced.</t>
  </si>
  <si>
    <t xml:space="preserve">Marketing HOD interview, 12 Oct 2026</t>
  </si>
  <si>
    <t xml:space="preserve">G-029</t>
  </si>
  <si>
    <t xml:space="preserve">30-day link expiry stated; wider retention not covered.</t>
  </si>
  <si>
    <t xml:space="preserve">G-030</t>
  </si>
  <si>
    <t xml:space="preserve">8-year retention then archive or delete; process unclear.</t>
  </si>
  <si>
    <t xml:space="preserve">G-031</t>
  </si>
  <si>
    <t xml:space="preserve">8 financial years; deletion is manual, automation in progress.</t>
  </si>
  <si>
    <t xml:space="preserve">G-032</t>
  </si>
  <si>
    <t xml:space="preserve">90-day post-trip retention stated; not evidenced.</t>
  </si>
  <si>
    <t xml:space="preserve">G-033</t>
  </si>
  <si>
    <t xml:space="preserve">CMT</t>
  </si>
  <si>
    <t xml:space="preserve">Contract plus 8 years; no automated disposal described.</t>
  </si>
  <si>
    <t xml:space="preserve">CMT HOD interview, 12 Oct 2026</t>
  </si>
  <si>
    <t xml:space="preserve">G-034</t>
  </si>
  <si>
    <t xml:space="preserve">NDA and DPA templates follow GDPR terms; none signed with fleet vendors.</t>
  </si>
  <si>
    <t xml:space="preserve">s.8(2)</t>
  </si>
  <si>
    <t xml:space="preserve">A7</t>
  </si>
  <si>
    <t xml:space="preserve">G-035</t>
  </si>
  <si>
    <t xml:space="preserve">No signed NDA or DPA with vendors; revenue-share contracts only.</t>
  </si>
  <si>
    <t xml:space="preserve">G-036</t>
  </si>
  <si>
    <t xml:space="preserve">Keka and Mynd contracts lack processor duties and breach notice; HR flow record says DPA signed.</t>
  </si>
  <si>
    <t xml:space="preserve">G-037</t>
  </si>
  <si>
    <t xml:space="preserve">Legacy client MSAs carry NDAs only; no data rights, purpose limits or breach timelines.</t>
  </si>
  <si>
    <t xml:space="preserve">G-038</t>
  </si>
  <si>
    <t xml:space="preserve">Security, janitorial and maintenance vendor contracts lack processor duties.</t>
  </si>
  <si>
    <t xml:space="preserve">G-039</t>
  </si>
  <si>
    <t xml:space="preserve">Agency and platform DPAs not yet evidenced.</t>
  </si>
  <si>
    <t xml:space="preserve">G-040</t>
  </si>
  <si>
    <t xml:space="preserve">Auditor and software vendor DPAs being updated by Legal.</t>
  </si>
  <si>
    <t xml:space="preserve">G-041</t>
  </si>
  <si>
    <t xml:space="preserve">No privacy notice served to drivers and vendors; no version history; no withdrawal mechanism (tracker score 0 of 5).</t>
  </si>
  <si>
    <t xml:space="preserve">s.5, s.6; Rule 3</t>
  </si>
  <si>
    <t xml:space="preserve">A5</t>
  </si>
  <si>
    <t xml:space="preserve">G-042</t>
  </si>
  <si>
    <t xml:space="preserve">Opt-in and unsubscribe described but marked 'not available as of now'.</t>
  </si>
  <si>
    <t xml:space="preserve">G-043</t>
  </si>
  <si>
    <t xml:space="preserve">Consent letter handled in the VRM flow; notice not evidenced.</t>
  </si>
  <si>
    <t xml:space="preserve">G-044</t>
  </si>
  <si>
    <t xml:space="preserve">No independent notice for sub-ledger processing; relies on VRM and contracts.</t>
  </si>
  <si>
    <t xml:space="preserve">G-045</t>
  </si>
  <si>
    <t xml:space="preserve">Keka backups, analytics plug-ins and payroll vendor hosting unknown.</t>
  </si>
  <si>
    <t xml:space="preserve">s.16</t>
  </si>
  <si>
    <t xml:space="preserve">A9</t>
  </si>
  <si>
    <t xml:space="preserve">G-046</t>
  </si>
  <si>
    <t xml:space="preserve">CRM hosting region unconfirmed.</t>
  </si>
  <si>
    <t xml:space="preserve">G-047</t>
  </si>
  <si>
    <t xml:space="preserve">Transfers confirmed via Google Ads, Meta Ads and app.chati.ai; assess against Section 16.</t>
  </si>
  <si>
    <t xml:space="preserve">G-048</t>
  </si>
  <si>
    <t xml:space="preserve">Drive and OneDrive links; audit notes a possible US host.</t>
  </si>
  <si>
    <t xml:space="preserve">G-049</t>
  </si>
  <si>
    <t xml:space="preserve">Google Workspace and AWS: answered No but scope flags conditional risk.</t>
  </si>
  <si>
    <t xml:space="preserve">G-050</t>
  </si>
  <si>
    <t xml:space="preserve">VRM agents tick and sign onboarding consent in CabPro on behalf of vendors; conflicts with Section 6 (tracker score 1 of 5).</t>
  </si>
  <si>
    <t xml:space="preserve">s.6</t>
  </si>
  <si>
    <t xml:space="preserve">A4</t>
  </si>
  <si>
    <t xml:space="preserve">G-051</t>
  </si>
  <si>
    <t xml:space="preserve">No automated alert for expiring driver and vehicle documents (tracker score 2 of 5).</t>
  </si>
  <si>
    <t xml:space="preserve">s.8(3)</t>
  </si>
  <si>
    <t xml:space="preserve">G-052</t>
  </si>
  <si>
    <t xml:space="preserve">MIS with booking IDs and guest names sent to clients on request.</t>
  </si>
  <si>
    <t xml:space="preserve">s.8(5)</t>
  </si>
  <si>
    <t xml:space="preserve">A8</t>
  </si>
  <si>
    <t xml:space="preserve">G-053</t>
  </si>
  <si>
    <t xml:space="preserve">Tax schedules, TDS certificates and payment proofs sent to external auditors as loose email attachments; MIS with guest names.</t>
  </si>
  <si>
    <t xml:space="preserve">G-054</t>
  </si>
  <si>
    <t xml:space="preserve">Client MIS carries names, phones and full route logs; VIP files unencrypted and emailed.</t>
  </si>
  <si>
    <t xml:space="preserve">G-055</t>
  </si>
  <si>
    <t xml:space="preserve">Invoices shared by Drive/OneDrive links and unencrypted ZIPs (medium-high risk in tracker).</t>
  </si>
  <si>
    <t xml:space="preserve">G-056</t>
  </si>
  <si>
    <t xml:space="preserve">VIP and executive profiles kept in unencrypted Word/Excel files sent by email.</t>
  </si>
  <si>
    <t xml:space="preserve">G-057</t>
  </si>
  <si>
    <t xml:space="preserve">Paper visitor register left open; later visitors can read earlier entries.</t>
  </si>
  <si>
    <t xml:space="preserve">A10</t>
  </si>
  <si>
    <t xml:space="preserve">G-058</t>
  </si>
  <si>
    <t xml:space="preserve">Incident-response question left unanswered in the interview.</t>
  </si>
  <si>
    <t xml:space="preserve">s.8(6); Rule 7</t>
  </si>
  <si>
    <t xml:space="preserve">A11</t>
  </si>
  <si>
    <t xml:space="preserve">Action Tracker</t>
  </si>
  <si>
    <t xml:space="preserve">Due date = programme start (Dashboard) + target day. Linked and open findings count from the Gap Register.</t>
  </si>
  <si>
    <t xml:space="preserve">Action</t>
  </si>
  <si>
    <t xml:space="preserve">Owner (function)</t>
  </si>
  <si>
    <t xml:space="preserve">Phase</t>
  </si>
  <si>
    <t xml:space="preserve">Target day</t>
  </si>
  <si>
    <t xml:space="preserve">Due date</t>
  </si>
  <si>
    <t xml:space="preserve">Departments in scope</t>
  </si>
  <si>
    <t xml:space="preserve">Linked findings</t>
  </si>
  <si>
    <t xml:space="preserve">Open findings</t>
  </si>
  <si>
    <t xml:space="preserve">% complete</t>
  </si>
  <si>
    <t xml:space="preserve">Evidence / link</t>
  </si>
  <si>
    <t xml:space="preserve">Remarks</t>
  </si>
  <si>
    <t xml:space="preserve">Ban WhatsApp for personal data; ship CabPro Android upload and driver-app dispatch with masked numbers</t>
  </si>
  <si>
    <t xml:space="preserve">IT, Fleet Ops</t>
  </si>
  <si>
    <t xml:space="preserve">1 Contain</t>
  </si>
  <si>
    <t xml:space="preserve">CAT, Fleet, VRM, KAM, Sales</t>
  </si>
  <si>
    <t xml:space="preserve">Not started</t>
  </si>
  <si>
    <t xml:space="preserve">Mask Aadhaar at ingestion (redact first 8 digits); stop raw image storage; redact existing scans</t>
  </si>
  <si>
    <t xml:space="preserve">IT</t>
  </si>
  <si>
    <t xml:space="preserve">2 Build</t>
  </si>
  <si>
    <t xml:space="preserve">Fleet, VRM, HR (verify Admin, Accounts &amp; Tax)</t>
  </si>
  <si>
    <t xml:space="preserve">Deploy endpoint DLP; set systems to view-only; disable bulk export in ERP and CRM</t>
  </si>
  <si>
    <t xml:space="preserve">IT Security</t>
  </si>
  <si>
    <t xml:space="preserve">VRM, HR, KAM, Sales, Admin, Submission, Accounts &amp; Tax, Reservations</t>
  </si>
  <si>
    <t xml:space="preserve">Rebuild consent: vendor or driver signs by OTP or eSign, time-stamped; stop agent-signed consent</t>
  </si>
  <si>
    <t xml:space="preserve">IT, VRM</t>
  </si>
  <si>
    <t xml:space="preserve">VRM, Fleet</t>
  </si>
  <si>
    <t xml:space="preserve">Publish versioned bilingual privacy notice and a withdrawal path (incl. marketing opt-in and unsubscribe)</t>
  </si>
  <si>
    <t xml:space="preserve">DPO, IT</t>
  </si>
  <si>
    <t xml:space="preserve">VRM, Fleet, Marketing</t>
  </si>
  <si>
    <t xml:space="preserve">Approve the retention schedule; automate purge</t>
  </si>
  <si>
    <t xml:space="preserve">All 13</t>
  </si>
  <si>
    <t xml:space="preserve">Issue a DPDP-ready DPA; execute with vendors and client MSAs</t>
  </si>
  <si>
    <t xml:space="preserve">Legal</t>
  </si>
  <si>
    <t xml:space="preserve">Fleet, VRM, HR, Sales, Admin, Accounts &amp; Tax, Marketing</t>
  </si>
  <si>
    <t xml:space="preserve">Mask names in client MIS; named, expiring links, encrypted ZIPs and a data room for auditors</t>
  </si>
  <si>
    <t xml:space="preserve">Billing, KAM leads</t>
  </si>
  <si>
    <t xml:space="preserve">Submission, Collection, Accounts &amp; Tax, KAM</t>
  </si>
  <si>
    <t xml:space="preserve">Close cross-border checks on Keka/Mynd, ad platforms, Workspace, Drive/OneDrive, CRM</t>
  </si>
  <si>
    <t xml:space="preserve">IT, Legal</t>
  </si>
  <si>
    <t xml:space="preserve">3 Sustain</t>
  </si>
  <si>
    <t xml:space="preserve">HR, Marketing, Reservations, Submission, Sales</t>
  </si>
  <si>
    <t xml:space="preserve">Cover the visitor register; set CCTV and access-log retention</t>
  </si>
  <si>
    <t xml:space="preserve">Update breach SOP for a 72-hour Board report; run a drill; train staff by role</t>
  </si>
  <si>
    <t xml:space="preserve">DPO, IT Security</t>
  </si>
  <si>
    <t xml:space="preserve">Blue text on yellow = input. Target day is an assumption from the roadmap; change it to re-plan. Overdue due dates turn red.</t>
  </si>
  <si>
    <t xml:space="preserve">Retention Schedule (proposed)</t>
  </si>
  <si>
    <t xml:space="preserve">Basis type: Statutory floor = a law sets a minimum. Stated in interview = the HOD gave the period. Proposed = no statute found; set under DPDP s.8(7) on purpose. Proposed periods are recommendations for Legal and the DPO to approve.</t>
  </si>
  <si>
    <t xml:space="preserve">Data category</t>
  </si>
  <si>
    <t xml:space="preserve">Departments</t>
  </si>
  <si>
    <t xml:space="preserve">Data principals</t>
  </si>
  <si>
    <t xml:space="preserve">Clock starts</t>
  </si>
  <si>
    <t xml:space="preserve">Statutory minimum</t>
  </si>
  <si>
    <t xml:space="preserve">Proposed retention</t>
  </si>
  <si>
    <t xml:space="preserve">Basis type</t>
  </si>
  <si>
    <t xml:space="preserve">Disposal</t>
  </si>
  <si>
    <t xml:space="preserve">Current practice (interviews)</t>
  </si>
  <si>
    <t xml:space="preserve">ROPA ID</t>
  </si>
  <si>
    <t xml:space="preserve">Owner</t>
  </si>
  <si>
    <t xml:space="preserve">Notes</t>
  </si>
  <si>
    <t xml:space="preserve">T-01</t>
  </si>
  <si>
    <t xml:space="preserve">Books of account, invoices, vouchers, duty slips supporting invoices</t>
  </si>
  <si>
    <t xml:space="preserve">Accounts &amp; Tax, Collection, Submission</t>
  </si>
  <si>
    <t xml:space="preserve">Clients, drivers, vendors, guests</t>
  </si>
  <si>
    <t xml:space="preserve">End of financial year</t>
  </si>
  <si>
    <t xml:space="preserve">8 financial years (Companies Act s.128(5)); GST 72 months; Income-tax 6 years</t>
  </si>
  <si>
    <t xml:space="preserve">8 financial years, then delete or anonymise. Mask guest phone numbers on duty slips after 90 days.</t>
  </si>
  <si>
    <t xml:space="preserve">Statutory floor</t>
  </si>
  <si>
    <t xml:space="preserve">Secure delete; restricted archive</t>
  </si>
  <si>
    <t xml:space="preserve">8 years stated; deletion manual; guest names in MIS</t>
  </si>
  <si>
    <t xml:space="preserve">R-08, R-09, R-10</t>
  </si>
  <si>
    <t xml:space="preserve">Accounts &amp; Tax head</t>
  </si>
  <si>
    <t xml:space="preserve">Proposed</t>
  </si>
  <si>
    <t xml:space="preserve">No</t>
  </si>
  <si>
    <t xml:space="preserve">T-02</t>
  </si>
  <si>
    <t xml:space="preserve">Vendor and driver payout data (bank, PAN, TDS records)</t>
  </si>
  <si>
    <t xml:space="preserve">Drivers, vendors</t>
  </si>
  <si>
    <t xml:space="preserve">End of FY of last payment</t>
  </si>
  <si>
    <t xml:space="preserve">8 financial years as voucher support</t>
  </si>
  <si>
    <t xml:space="preserve">8 financial years from the FY of last payment, then delete.</t>
  </si>
  <si>
    <t xml:space="preserve">Secure delete</t>
  </si>
  <si>
    <t xml:space="preserve">8 years stated; manual deletion</t>
  </si>
  <si>
    <t xml:space="preserve">R-10</t>
  </si>
  <si>
    <t xml:space="preserve">T-03</t>
  </si>
  <si>
    <t xml:space="preserve">Driver and vendor KYC scans (Aadhaar, DL, RC, insurance, permits)</t>
  </si>
  <si>
    <t xml:space="preserve">Fleet, VRM</t>
  </si>
  <si>
    <t xml:space="preserve">Chauffeurs, vehicle owners, vendors</t>
  </si>
  <si>
    <t xml:space="preserve">Relationship end</t>
  </si>
  <si>
    <t xml:space="preserve">None found for raw copies</t>
  </si>
  <si>
    <t xml:space="preserve">Relationship end + 3 years (claims window). Store Aadhaar masked only. Keep only masked copies as payout support.</t>
  </si>
  <si>
    <t xml:space="preserve">Automated purge job</t>
  </si>
  <si>
    <t xml:space="preserve">No purge configured (VRM); Fleet claims automated</t>
  </si>
  <si>
    <t xml:space="preserve">R-01</t>
  </si>
  <si>
    <t xml:space="preserve">Fleet / VRM heads</t>
  </si>
  <si>
    <t xml:space="preserve">T-04</t>
  </si>
  <si>
    <t xml:space="preserve">Consent records and privacy notice versions</t>
  </si>
  <si>
    <t xml:space="preserve">All data principals</t>
  </si>
  <si>
    <t xml:space="preserve">Consent withdrawn or relationship end</t>
  </si>
  <si>
    <t xml:space="preserve">None</t>
  </si>
  <si>
    <t xml:space="preserve">Life of consent + 3 years, as evidence.</t>
  </si>
  <si>
    <t xml:space="preserve">No notice or version history today</t>
  </si>
  <si>
    <t xml:space="preserve">R-01, R-07</t>
  </si>
  <si>
    <t xml:space="preserve">DPO</t>
  </si>
  <si>
    <t xml:space="preserve">T-05</t>
  </si>
  <si>
    <t xml:space="preserve">Booking and dispatch records (name, phone, pickup, drop)</t>
  </si>
  <si>
    <t xml:space="preserve">Reservations, CAT, KAM</t>
  </si>
  <si>
    <t xml:space="preserve">Passengers, corporate employees</t>
  </si>
  <si>
    <t xml:space="preserve">Trip completion</t>
  </si>
  <si>
    <t xml:space="preserve">90 days after trip, then remove identifiers. Billing copy is kept under T-01.</t>
  </si>
  <si>
    <t xml:space="preserve">Stated in interview</t>
  </si>
  <si>
    <t xml:space="preserve">Automated archive then delete</t>
  </si>
  <si>
    <t xml:space="preserve">Reservations: 90 days stated; KAM rosters indefinite</t>
  </si>
  <si>
    <t xml:space="preserve">R-02, R-03, R-04</t>
  </si>
  <si>
    <t xml:space="preserve">Reservations / CAT heads</t>
  </si>
  <si>
    <t xml:space="preserve">T-06</t>
  </si>
  <si>
    <t xml:space="preserve">Driver app, trip and location logs</t>
  </si>
  <si>
    <t xml:space="preserve">CAT, IT</t>
  </si>
  <si>
    <t xml:space="preserve">Passengers, chauffeurs</t>
  </si>
  <si>
    <t xml:space="preserve">Date of processing</t>
  </si>
  <si>
    <t xml:space="preserve">At least 1 year (DPDP Rule 8(3))</t>
  </si>
  <si>
    <t xml:space="preserve">1 year, then delete unless an incident or claim is open.</t>
  </si>
  <si>
    <t xml:space="preserve">Automated purge</t>
  </si>
  <si>
    <t xml:space="preserve">App cache purged post-trip; central retention not seen</t>
  </si>
  <si>
    <t xml:space="preserve">R-02</t>
  </si>
  <si>
    <t xml:space="preserve">T-07</t>
  </si>
  <si>
    <t xml:space="preserve">System, access and security logs</t>
  </si>
  <si>
    <t xml:space="preserve">All</t>
  </si>
  <si>
    <t xml:space="preserve">Date of log</t>
  </si>
  <si>
    <t xml:space="preserve">180 days in India (CERT-In); at least 1 year (DPDP Rule 8(3))</t>
  </si>
  <si>
    <t xml:space="preserve">1 year (the longer rule), stored in India.</t>
  </si>
  <si>
    <t xml:space="preserve">Automated rotation</t>
  </si>
  <si>
    <t xml:space="preserve">Not covered in interviews</t>
  </si>
  <si>
    <t xml:space="preserve">T-08</t>
  </si>
  <si>
    <t xml:space="preserve">Corporate client contacts and contract files</t>
  </si>
  <si>
    <t xml:space="preserve">CMT, Sales, KAM</t>
  </si>
  <si>
    <t xml:space="preserve">Client signatories, travel desks</t>
  </si>
  <si>
    <t xml:space="preserve">Contract end</t>
  </si>
  <si>
    <t xml:space="preserve">8 financial years where part of books</t>
  </si>
  <si>
    <t xml:space="preserve">Contract end + 8 years for contract and billing file. Deactivate a contact when the client confirms a change.</t>
  </si>
  <si>
    <t xml:space="preserve">CMT states contract + 8 years</t>
  </si>
  <si>
    <t xml:space="preserve">R-05, R-06</t>
  </si>
  <si>
    <t xml:space="preserve">CMT head</t>
  </si>
  <si>
    <t xml:space="preserve">T-09</t>
  </si>
  <si>
    <t xml:space="preserve">Client rosters, MIS exports, VIP profiles</t>
  </si>
  <si>
    <t xml:space="preserve">KAM, Sales</t>
  </si>
  <si>
    <t xml:space="preserve">Client employees, VIPs</t>
  </si>
  <si>
    <t xml:space="preserve">Account termination</t>
  </si>
  <si>
    <t xml:space="preserve">Delete within 90 days of account termination. No local exports.</t>
  </si>
  <si>
    <t xml:space="preserve">Delete from CRM, email and laptops</t>
  </si>
  <si>
    <t xml:space="preserve">Indefinite in email and local drives</t>
  </si>
  <si>
    <t xml:space="preserve">R-04, R-05</t>
  </si>
  <si>
    <t xml:space="preserve">KAM / Sales heads</t>
  </si>
  <si>
    <t xml:space="preserve">T-10</t>
  </si>
  <si>
    <t xml:space="preserve">Lost or unconverted B2B leads and RFP contacts</t>
  </si>
  <si>
    <t xml:space="preserve">Prospect contacts</t>
  </si>
  <si>
    <t xml:space="preserve">Last contact</t>
  </si>
  <si>
    <t xml:space="preserve">12 months from last contact, then delete.</t>
  </si>
  <si>
    <t xml:space="preserve">Automated CRM purge</t>
  </si>
  <si>
    <t xml:space="preserve">Indefinite in CRM</t>
  </si>
  <si>
    <t xml:space="preserve">R-05</t>
  </si>
  <si>
    <t xml:space="preserve">Sales head</t>
  </si>
  <si>
    <t xml:space="preserve">T-11</t>
  </si>
  <si>
    <t xml:space="preserve">Marketing leads, app and campaign data</t>
  </si>
  <si>
    <t xml:space="preserve">Leads, app users</t>
  </si>
  <si>
    <t xml:space="preserve">Last engagement</t>
  </si>
  <si>
    <t xml:space="preserve">3 months idle (Marketing's figure). Erase on consent withdrawal.</t>
  </si>
  <si>
    <t xml:space="preserve">Automated suppression and delete</t>
  </si>
  <si>
    <t xml:space="preserve">3-month validity claimed; not evidenced</t>
  </si>
  <si>
    <t xml:space="preserve">R-07</t>
  </si>
  <si>
    <t xml:space="preserve">Marketing head</t>
  </si>
  <si>
    <t xml:space="preserve">T-12</t>
  </si>
  <si>
    <t xml:space="preserve">Marketing opt-out (suppression) list</t>
  </si>
  <si>
    <t xml:space="preserve">Leads, customers</t>
  </si>
  <si>
    <t xml:space="preserve">Opt-out date</t>
  </si>
  <si>
    <t xml:space="preserve">Keep the minimum identifier needed to honour the opt-out.</t>
  </si>
  <si>
    <t xml:space="preserve">Review yearly</t>
  </si>
  <si>
    <t xml:space="preserve">Unsubscribe 'not available as of now'</t>
  </si>
  <si>
    <t xml:space="preserve">T-13</t>
  </si>
  <si>
    <t xml:space="preserve">Payroll, PF, ESIC and tax records</t>
  </si>
  <si>
    <t xml:space="preserve">Employees</t>
  </si>
  <si>
    <t xml:space="preserve">8 FY stated by HR; labour-law periods not verified</t>
  </si>
  <si>
    <t xml:space="preserve">8 financial years. HR and Legal to confirm any longer statutory period.</t>
  </si>
  <si>
    <t xml:space="preserve">8 years stated</t>
  </si>
  <si>
    <t xml:space="preserve">R-11</t>
  </si>
  <si>
    <t xml:space="preserve">HR head</t>
  </si>
  <si>
    <t xml:space="preserve">T-14</t>
  </si>
  <si>
    <t xml:space="preserve">Employee personnel file and appraisals</t>
  </si>
  <si>
    <t xml:space="preserve">Exit date</t>
  </si>
  <si>
    <t xml:space="preserve">None found</t>
  </si>
  <si>
    <t xml:space="preserve">Exit + 3 years, then delete.</t>
  </si>
  <si>
    <t xml:space="preserve">Held indefinitely</t>
  </si>
  <si>
    <t xml:space="preserve">T-15</t>
  </si>
  <si>
    <t xml:space="preserve">Rejected applicant resumes</t>
  </si>
  <si>
    <t xml:space="preserve">Applicants</t>
  </si>
  <si>
    <t xml:space="preserve">Rejection</t>
  </si>
  <si>
    <t xml:space="preserve">12 months. Longer only with consent for a talent pool.</t>
  </si>
  <si>
    <t xml:space="preserve">Automated purge in Keka</t>
  </si>
  <si>
    <t xml:space="preserve">Indefinite in Keka and local folders</t>
  </si>
  <si>
    <t xml:space="preserve">T-16</t>
  </si>
  <si>
    <t xml:space="preserve">Ex-employee HRMS profile and access</t>
  </si>
  <si>
    <t xml:space="preserve">HR, IT</t>
  </si>
  <si>
    <t xml:space="preserve">Ex-employees</t>
  </si>
  <si>
    <t xml:space="preserve">Statutory payroll records only</t>
  </si>
  <si>
    <t xml:space="preserve">Revoke access on exit day. Keep only the records under T-13 and T-14.</t>
  </si>
  <si>
    <t xml:space="preserve">Access revocation checklist</t>
  </si>
  <si>
    <t xml:space="preserve">Profiles remain in Keka indefinitely</t>
  </si>
  <si>
    <t xml:space="preserve">HR / IT</t>
  </si>
  <si>
    <t xml:space="preserve">T-17</t>
  </si>
  <si>
    <t xml:space="preserve">Visitor registers and gate records</t>
  </si>
  <si>
    <t xml:space="preserve">Visitors, contractors</t>
  </si>
  <si>
    <t xml:space="preserve">Visit date</t>
  </si>
  <si>
    <t xml:space="preserve">12 months. Paper register must not be left open.</t>
  </si>
  <si>
    <t xml:space="preserve">Shred or delete</t>
  </si>
  <si>
    <t xml:space="preserve">Indefinite; register open to later visitors</t>
  </si>
  <si>
    <t xml:space="preserve">R-12</t>
  </si>
  <si>
    <t xml:space="preserve">Admin head</t>
  </si>
  <si>
    <t xml:space="preserve">T-18</t>
  </si>
  <si>
    <t xml:space="preserve">CCTV footage</t>
  </si>
  <si>
    <t xml:space="preserve">Staff, visitors</t>
  </si>
  <si>
    <t xml:space="preserve">Recording date</t>
  </si>
  <si>
    <t xml:space="preserve">90 days. Hold longer only for a flagged incident.</t>
  </si>
  <si>
    <t xml:space="preserve">Automatic overwrite</t>
  </si>
  <si>
    <t xml:space="preserve">Kept until storage fills</t>
  </si>
  <si>
    <t xml:space="preserve">T-19</t>
  </si>
  <si>
    <t xml:space="preserve">Biometric and access-card logs</t>
  </si>
  <si>
    <t xml:space="preserve">Admin, HR</t>
  </si>
  <si>
    <t xml:space="preserve">Employees, visitors</t>
  </si>
  <si>
    <t xml:space="preserve">Possibly Rule 8(3), 1 year; confirm with Legal</t>
  </si>
  <si>
    <t xml:space="preserve">1 year. Attendance summaries are kept under T-13.</t>
  </si>
  <si>
    <t xml:space="preserve">No documented purge</t>
  </si>
  <si>
    <t xml:space="preserve">R-11, R-12</t>
  </si>
  <si>
    <t xml:space="preserve">Admin / HR</t>
  </si>
  <si>
    <t xml:space="preserve">T-20</t>
  </si>
  <si>
    <t xml:space="preserve">Facility vendor contacts and details</t>
  </si>
  <si>
    <t xml:space="preserve">Vendor owners</t>
  </si>
  <si>
    <t xml:space="preserve">8 FY for payment records (T-01)</t>
  </si>
  <si>
    <t xml:space="preserve">Contacts: contract end + 1 year. Payment records under T-01.</t>
  </si>
  <si>
    <t xml:space="preserve">Delete from desktop files</t>
  </si>
  <si>
    <t xml:space="preserve">Loose Excel on desktops</t>
  </si>
  <si>
    <t xml:space="preserve">T-21</t>
  </si>
  <si>
    <t xml:space="preserve">Shared cloud links for invoices and duty slips</t>
  </si>
  <si>
    <t xml:space="preserve">Billing contacts, passengers on slips</t>
  </si>
  <si>
    <t xml:space="preserve">Link creation</t>
  </si>
  <si>
    <t xml:space="preserve">30 days maximum, named recipients, password.</t>
  </si>
  <si>
    <t xml:space="preserve">Link expiry</t>
  </si>
  <si>
    <t xml:space="preserve">30 days approved by HOD; links not always restricted</t>
  </si>
  <si>
    <t xml:space="preserve">R-08</t>
  </si>
  <si>
    <t xml:space="preserve">Submission head</t>
  </si>
  <si>
    <t xml:space="preserve">T-22</t>
  </si>
  <si>
    <t xml:space="preserve">Breach register and incident records</t>
  </si>
  <si>
    <t xml:space="preserve">Affected principals</t>
  </si>
  <si>
    <t xml:space="preserve">Incident closure</t>
  </si>
  <si>
    <t xml:space="preserve">3 years after closure. Keep the Board report copy as long.</t>
  </si>
  <si>
    <t xml:space="preserve">Register exists per HODs; not seen</t>
  </si>
  <si>
    <t xml:space="preserve">T-23</t>
  </si>
  <si>
    <t xml:space="preserve">Data principal requests (access, correction, erasure, withdrawal)</t>
  </si>
  <si>
    <t xml:space="preserve">Requesters</t>
  </si>
  <si>
    <t xml:space="preserve">Request closure</t>
  </si>
  <si>
    <t xml:space="preserve">3 years after closure.</t>
  </si>
  <si>
    <t xml:space="preserve">No workflow today</t>
  </si>
  <si>
    <t xml:space="preserve">T-24</t>
  </si>
  <si>
    <t xml:space="preserve">Contracts, NDAs and DPAs</t>
  </si>
  <si>
    <t xml:space="preserve">Legal, CMT, Fleet</t>
  </si>
  <si>
    <t xml:space="preserve">Signatories</t>
  </si>
  <si>
    <t xml:space="preserve">Termination</t>
  </si>
  <si>
    <t xml:space="preserve">Termination + 8 years (CMT's contractual liability figure).</t>
  </si>
  <si>
    <t xml:space="preserve">Not defined outside CMT</t>
  </si>
  <si>
    <t xml:space="preserve">R-06</t>
  </si>
  <si>
    <t xml:space="preserve">Retention Rules: what applies to Carzonrent</t>
  </si>
  <si>
    <t xml:space="preserve">Bottom line: the DPDP Act sets no fixed retention period for a company like Carzonrent. Section 8(7) requires erasure once the purpose is served or consent is withdrawn, unless another law requires retention. So Carzonrent must set its own purpose-based periods, and keep tax, company-law and log records for the periods those laws require.</t>
  </si>
  <si>
    <t xml:space="preserve">Rule</t>
  </si>
  <si>
    <t xml:space="preserve">What it says</t>
  </si>
  <si>
    <t xml:space="preserve">Applies to Carzonrent?</t>
  </si>
  <si>
    <t xml:space="preserve">What to do</t>
  </si>
  <si>
    <t xml:space="preserve">Verified?</t>
  </si>
  <si>
    <t xml:space="preserve">DPDP Act s.8(7)</t>
  </si>
  <si>
    <t xml:space="preserve">Erase personal data when consent is withdrawn or it is reasonable to assume the purpose is no longer served, unless retention is necessary to comply with a law. No fixed period.</t>
  </si>
  <si>
    <t xml:space="preserve">Yes, from about May 2027</t>
  </si>
  <si>
    <t xml:space="preserve">Set a purpose-based period for every data category (Retention Schedule). Document the reason. Automate deletion.</t>
  </si>
  <si>
    <t xml:space="preserve">DPDP Act 2023; summary at sansalegal.com (DPDP Rules 2025 retention schedule guide)</t>
  </si>
  <si>
    <t xml:space="preserve">Checked against a secondary source</t>
  </si>
  <si>
    <t xml:space="preserve">DPDP Rules 2025, Rule 8(1) and Third Schedule</t>
  </si>
  <si>
    <t xml:space="preserve">Fixed 3-year period (from the user's last interaction) for e-commerce entities with 2 crore or more users, online gaming intermediaries with 50 lakh or more, and social media intermediaries with 2 crore or more.</t>
  </si>
  <si>
    <t xml:space="preserve">Very unlikely. Confirm registered-user count and that Carzonrent is not an e-commerce entity at that scale.</t>
  </si>
  <si>
    <t xml:space="preserve">No fixed 3-year period applies. Use the company schedule.</t>
  </si>
  <si>
    <t xml:space="preserve">DPDP Rules 2025 via sansalegal.com</t>
  </si>
  <si>
    <t xml:space="preserve">Checked against a secondary source; Legal to confirm</t>
  </si>
  <si>
    <t xml:space="preserve">DPDP Rules 2025, Rule 8(2)</t>
  </si>
  <si>
    <t xml:space="preserve">48 hours' notice to the user before erasure, for the Third Schedule classes.</t>
  </si>
  <si>
    <t xml:space="preserve">Not required for Carzonrent on the above</t>
  </si>
  <si>
    <t xml:space="preserve">Optional good practice for customer-facing erasure.</t>
  </si>
  <si>
    <t xml:space="preserve">sansalegal.com</t>
  </si>
  <si>
    <t xml:space="preserve">DPDP Rules 2025, Rule 8(3)</t>
  </si>
  <si>
    <t xml:space="preserve">Retain personal data, associated traffic data and processing logs for at least one year, for the purposes the Rules specify.</t>
  </si>
  <si>
    <t xml:space="preserve">Yes, for logs</t>
  </si>
  <si>
    <t xml:space="preserve">Keep processing, access and trip logs at least 1 year, then delete unless another law needs longer.</t>
  </si>
  <si>
    <t xml:space="preserve">Checked against a secondary source; Legal to confirm scope</t>
  </si>
  <si>
    <t xml:space="preserve">DPDP Act s.6(6) and s.12(3)</t>
  </si>
  <si>
    <t xml:space="preserve">On withdrawal of consent, stop processing (and make processors stop). On a user's erasure request, erase unless needed for the purpose or to comply with law.</t>
  </si>
  <si>
    <t xml:space="preserve">Yes</t>
  </si>
  <si>
    <t xml:space="preserve">Build a withdrawal and erasure workflow, including fleet vendors and other processors.</t>
  </si>
  <si>
    <t xml:space="preserve">Companies Act 2013 s.128(5)</t>
  </si>
  <si>
    <t xml:space="preserve">Books of account and vouchers: at least the 8 financial years immediately preceding the current one.</t>
  </si>
  <si>
    <t xml:space="preserve">Keep books, invoices, vouchers and supporting duty slips for 8 financial years.</t>
  </si>
  <si>
    <t xml:space="preserve">metalegal.in (maintenance of records)</t>
  </si>
  <si>
    <t xml:space="preserve">Income-tax Rules 1962, Rule 6F(5)</t>
  </si>
  <si>
    <t xml:space="preserve">Books and documents: at least 6 years from the end of the relevant assessment year.</t>
  </si>
  <si>
    <t xml:space="preserve">Yes, but the Income-tax Act 2025 replaces the 1961 Act from 1 April 2026; confirm the equivalent rule</t>
  </si>
  <si>
    <t xml:space="preserve">The 8-year Companies Act period is longer, so 8 financial years covers it.</t>
  </si>
  <si>
    <t xml:space="preserve">metalegal.in</t>
  </si>
  <si>
    <t xml:space="preserve">Checked for the 1961 Act only; Legal to confirm under the 2025 Act</t>
  </si>
  <si>
    <t xml:space="preserve">CGST Act s.36 and Rule 56</t>
  </si>
  <si>
    <t xml:space="preserve">Accounts and records: 72 months from the due date of the annual return for the year; longer if proceedings are pending.</t>
  </si>
  <si>
    <t xml:space="preserve">Covered by the 8-year books period; extend for pending proceedings.</t>
  </si>
  <si>
    <t xml:space="preserve">taxguru.in / metalegal.in</t>
  </si>
  <si>
    <t xml:space="preserve">CERT-In Directions 2022</t>
  </si>
  <si>
    <t xml:space="preserve">Keep ICT system logs for a rolling 180 days within India; report cyber incidents within 6 hours.</t>
  </si>
  <si>
    <t xml:space="preserve">Keep logs 1 year (the longer DPDP floor), stored in India.</t>
  </si>
  <si>
    <t xml:space="preserve">mondaq.com (overview of CERT-In directions)</t>
  </si>
  <si>
    <t xml:space="preserve">Labour laws (PF, ESIC, Gratuity, Payment of Wages, Contract Labour)</t>
  </si>
  <si>
    <t xml:space="preserve">Record-keeping periods differ by statute.</t>
  </si>
  <si>
    <t xml:space="preserve">Yes for employees</t>
  </si>
  <si>
    <t xml:space="preserve">HR and Legal to list the exact period per statute. Until then HR's stated 8 financial years applies.</t>
  </si>
  <si>
    <t xml:space="preserve">Not verified in this review</t>
  </si>
  <si>
    <t xml:space="preserve">NOT verified</t>
  </si>
  <si>
    <t xml:space="preserve">Limitation Act 1963</t>
  </si>
  <si>
    <t xml:space="preserve">General limitation of 3 years for most civil claims.</t>
  </si>
  <si>
    <t xml:space="preserve">Used as the basis for dispute windows (proposal, not a retention rule)</t>
  </si>
  <si>
    <t xml:space="preserve">Used to justify relationship end + 3 years for KYC, consent and personnel records. Legal to confirm.</t>
  </si>
  <si>
    <t xml:space="preserve">General legal principle</t>
  </si>
  <si>
    <t xml:space="preserve">Not verified here; Legal to confirm</t>
  </si>
  <si>
    <t xml:space="preserve">ROPA: Record of Processing Activities</t>
  </si>
  <si>
    <t xml:space="preserve">Lawful basis is proposed for Legal to confirm. Retention is as stated by the HOD. Yellow cells are for owners to complete.</t>
  </si>
  <si>
    <t xml:space="preserve">Processing activity</t>
  </si>
  <si>
    <t xml:space="preserve">Data categories</t>
  </si>
  <si>
    <t xml:space="preserve">Purpose</t>
  </si>
  <si>
    <t xml:space="preserve">Proposed lawful basis</t>
  </si>
  <si>
    <t xml:space="preserve">Systems</t>
  </si>
  <si>
    <t xml:space="preserve">Recipients</t>
  </si>
  <si>
    <t xml:space="preserve">Retention (as stated)</t>
  </si>
  <si>
    <t xml:space="preserve">Retention gap?</t>
  </si>
  <si>
    <t xml:space="preserve">Owner (HOD)</t>
  </si>
  <si>
    <t xml:space="preserve">Last reviewed</t>
  </si>
  <si>
    <t xml:space="preserve">Driver and vendor onboarding</t>
  </si>
  <si>
    <t xml:space="preserve">Chauffeurs, vehicle owners, fleet vendors</t>
  </si>
  <si>
    <t xml:space="preserve">Aadhaar, PAN, DL, bank details, RC, insurance, fitness/permits, cancelled cheque, consent letter, contact details</t>
  </si>
  <si>
    <t xml:space="preserve">Verify eligibility, TDS and payouts, vendor contracts</t>
  </si>
  <si>
    <t xml:space="preserve">Consent (s.6) plus legal obligation (tax)</t>
  </si>
  <si>
    <t xml:space="preserve">CabPro, Insta portal</t>
  </si>
  <si>
    <t xml:space="preserve">Accounts, Allocation</t>
  </si>
  <si>
    <t xml:space="preserve">8 years for tax; automated purge not built</t>
  </si>
  <si>
    <t xml:space="preserve">Draft</t>
  </si>
  <si>
    <t xml:space="preserve">Trip allocation and dispatch</t>
  </si>
  <si>
    <t xml:space="preserve">Passenger name and phone, pickup and drop, chauffeur name, phone and DL number, vehicle</t>
  </si>
  <si>
    <t xml:space="preserve">Allocate cars, dispatch drivers, passenger safety</t>
  </si>
  <si>
    <t xml:space="preserve">Voluntary provision for the requested service (s.7)</t>
  </si>
  <si>
    <t xml:space="preserve">Dispatch system, driver app, WhatsApp (to retire)</t>
  </si>
  <si>
    <t xml:space="preserve">Fleet vendors, chauffeurs</t>
  </si>
  <si>
    <t xml:space="preserve">Not asked</t>
  </si>
  <si>
    <t xml:space="preserve">Central retention schedule; app cache purged post-trip</t>
  </si>
  <si>
    <t xml:space="preserve">To verify</t>
  </si>
  <si>
    <t xml:space="preserve">R-03</t>
  </si>
  <si>
    <t xml:space="preserve">Corporate booking intake</t>
  </si>
  <si>
    <t xml:space="preserve">Corporate employees</t>
  </si>
  <si>
    <t xml:space="preserve">Name, phone, pickup and drop, flight or train details, travel time, special instructions, billing identifiers</t>
  </si>
  <si>
    <t xml:space="preserve">Arrange transport, calculate ETAs, billing</t>
  </si>
  <si>
    <t xml:space="preserve">Google Workspace mail, booking software</t>
  </si>
  <si>
    <t xml:space="preserve">KAM, Ops, client travel desk</t>
  </si>
  <si>
    <t xml:space="preserve">90 days after trip (stated)</t>
  </si>
  <si>
    <t xml:space="preserve">R-04</t>
  </si>
  <si>
    <t xml:space="preserve">Key account servicing</t>
  </si>
  <si>
    <t xml:space="preserve">Client travel desks, employees, VIPs</t>
  </si>
  <si>
    <t xml:space="preserve">Contacts, employee ID, cost centre, itineraries, flight numbers, VIP preferences, driver assignment</t>
  </si>
  <si>
    <t xml:space="preserve">Bookings, escalations, MIS, account reviews</t>
  </si>
  <si>
    <t xml:space="preserve">Insta ERP, email, WhatsApp groups (to retire)</t>
  </si>
  <si>
    <t xml:space="preserve">Dispatch, client travel desks</t>
  </si>
  <si>
    <t xml:space="preserve">Billing 8 years; rosters and logs indefinite</t>
  </si>
  <si>
    <t xml:space="preserve">B2B sales and RFPs</t>
  </si>
  <si>
    <t xml:space="preserve">Travel managers, procurement officers</t>
  </si>
  <si>
    <t xml:space="preserve">Name, designation, email, phone, address, GSTIN, corporate bank details</t>
  </si>
  <si>
    <t xml:space="preserve">Evaluate bids, negotiate rate contracts, set up billing</t>
  </si>
  <si>
    <t xml:space="preserve">Contract; voluntary provision (s.7)</t>
  </si>
  <si>
    <t xml:space="preserve">CRM, Insta ERP, email, WhatsApp (to retire)</t>
  </si>
  <si>
    <t xml:space="preserve">CMT, Ops, Billing</t>
  </si>
  <si>
    <t xml:space="preserve">Contract plus 8 years; lost leads indefinite</t>
  </si>
  <si>
    <t xml:space="preserve">Corporate contract management</t>
  </si>
  <si>
    <t xml:space="preserve">Authorised signatories</t>
  </si>
  <si>
    <t xml:space="preserve">Name, email, phone, designation, contract and billing terms, GST copy</t>
  </si>
  <si>
    <t xml:space="preserve">Execute B2B agreements, create client in Insta ERP, collections</t>
  </si>
  <si>
    <t xml:space="preserve">Contract</t>
  </si>
  <si>
    <t xml:space="preserve">Insta ERP, CMT file server, SRM archive</t>
  </si>
  <si>
    <t xml:space="preserve">Accounts, KAM, Legal, Sales</t>
  </si>
  <si>
    <t xml:space="preserve">Contract plus 8 years</t>
  </si>
  <si>
    <t xml:space="preserve">Campaigns and lead generation</t>
  </si>
  <si>
    <t xml:space="preserve">Leads, app users, event registrants</t>
  </si>
  <si>
    <t xml:space="preserve">Name, phone, email, location, vehicle preference, booking history, app behaviour, response logs</t>
  </si>
  <si>
    <t xml:space="preserve">Targeted offers, loyalty programmes, ROI analysis</t>
  </si>
  <si>
    <t xml:space="preserve">Consent (s.6)</t>
  </si>
  <si>
    <t xml:space="preserve">Insta CRM, app.chati.ai, Google Ads, Meta Ads, email providers</t>
  </si>
  <si>
    <t xml:space="preserve">Ad networks, email gateways, Sales</t>
  </si>
  <si>
    <t xml:space="preserve">3 months for idle leads (stated)</t>
  </si>
  <si>
    <t xml:space="preserve">Invoice submission</t>
  </si>
  <si>
    <t xml:space="preserve">Corporate billing contacts, passengers, chauffeurs</t>
  </si>
  <si>
    <t xml:space="preserve">Billing contacts, passenger and chauffeur details on duty slips, vehicle numbers, payment schedules</t>
  </si>
  <si>
    <t xml:space="preserve">Corporate billing, trip validation, client audit</t>
  </si>
  <si>
    <t xml:space="preserve">Insta ERP, email, courier, Drive/OneDrive links</t>
  </si>
  <si>
    <t xml:space="preserve">Corporate client billing teams</t>
  </si>
  <si>
    <t xml:space="preserve">Shared links expire in 30 days</t>
  </si>
  <si>
    <t xml:space="preserve">R-09</t>
  </si>
  <si>
    <t xml:space="preserve">Collections and reconciliation</t>
  </si>
  <si>
    <t xml:space="preserve">Client contacts, guests</t>
  </si>
  <si>
    <t xml:space="preserve">Contact details, guest names in MIS, bank details, transaction IDs, remittance advice</t>
  </si>
  <si>
    <t xml:space="preserve">Payment follow-up, reconciliation, tax invoices</t>
  </si>
  <si>
    <t xml:space="preserve">Contract; legal obligation</t>
  </si>
  <si>
    <t xml:space="preserve">Oracle ERP, Insta ERP, email</t>
  </si>
  <si>
    <t xml:space="preserve">Finance, financial auditors</t>
  </si>
  <si>
    <t xml:space="preserve">8 financial years</t>
  </si>
  <si>
    <t xml:space="preserve">Payouts, TDS and GST</t>
  </si>
  <si>
    <t xml:space="preserve">Drivers, vendors, employees</t>
  </si>
  <si>
    <t xml:space="preserve">Bank account, IFSC, PAN, GSTIN, trip earnings, TDS records, reimbursement claims</t>
  </si>
  <si>
    <t xml:space="preserve">Vendor payouts, TDS and GST returns, audits</t>
  </si>
  <si>
    <t xml:space="preserve">Legal obligation (s.7)</t>
  </si>
  <si>
    <t xml:space="preserve">Oracle ERP, Insta ERP</t>
  </si>
  <si>
    <t xml:space="preserve">Banks, GSTN, TRACES, financial auditors</t>
  </si>
  <si>
    <t xml:space="preserve">8 financial years; deletion manual</t>
  </si>
  <si>
    <t xml:space="preserve">Recruitment, payroll and attendance</t>
  </si>
  <si>
    <t xml:space="preserve">Employees, applicants</t>
  </si>
  <si>
    <t xml:space="preserve">Name, DOB, address, Aadhaar, PAN, bank, PF and ESIC numbers, health insurance, attendance, appraisals</t>
  </si>
  <si>
    <t xml:space="preserve">Payroll, statutory dues, insurance, performance</t>
  </si>
  <si>
    <t xml:space="preserve">Employment and legal obligation (s.7)</t>
  </si>
  <si>
    <t xml:space="preserve">Keka HRMS, Mynd Solutions, biometric</t>
  </si>
  <si>
    <t xml:space="preserve">PF, ESIC, tax authorities, banks</t>
  </si>
  <si>
    <t xml:space="preserve">Payroll 8 years; resumes and ex-employee files indefinite</t>
  </si>
  <si>
    <t xml:space="preserve">Visitor, facility and asset records</t>
  </si>
  <si>
    <t xml:space="preserve">Visitors, contractors, facility vendors</t>
  </si>
  <si>
    <t xml:space="preserve">Name, phone, email, company, ID details, vehicle number, photo, vendor bank details, asset allocation</t>
  </si>
  <si>
    <t xml:space="preserve">Site security, access control, vendor payments</t>
  </si>
  <si>
    <t xml:space="preserve">Voluntary provision; contract (s.7)</t>
  </si>
  <si>
    <t xml:space="preserve">Paper register, biometric, CCTV, Excel</t>
  </si>
  <si>
    <t xml:space="preserve">Facility and security vendors</t>
  </si>
  <si>
    <t xml:space="preserve">CCTV and logs kept indefinitely</t>
  </si>
  <si>
    <t xml:space="preserve">Still to capture: retail bookings (CRM mailbox), app and web bookings, Finance payouts team, IT, Legal. Add rows below as they are interviewed.</t>
  </si>
  <si>
    <t xml:space="preserve">Department status</t>
  </si>
  <si>
    <t xml:space="preserve">Rating is preliminary (reviewer's synthesis). Counts are live from the Gap Register.</t>
  </si>
  <si>
    <t xml:space="preserve">Interview date</t>
  </si>
  <si>
    <t xml:space="preserve">Preliminary rating</t>
  </si>
  <si>
    <t xml:space="preserve">Gaps</t>
  </si>
  <si>
    <t xml:space="preserve">Verify items</t>
  </si>
  <si>
    <t xml:space="preserve">Action tracker in form</t>
  </si>
  <si>
    <t xml:space="preserve">HOD declaration signed</t>
  </si>
  <si>
    <t xml:space="preserve">Evidence pack received</t>
  </si>
  <si>
    <t xml:space="preserve">Key issue</t>
  </si>
  <si>
    <t xml:space="preserve">Completed</t>
  </si>
  <si>
    <t xml:space="preserve">Agents sign consent for vendors; no notice; raw Aadhaar; WhatsApp intake; no valid DPA.</t>
  </si>
  <si>
    <t xml:space="preserve">Blank</t>
  </si>
  <si>
    <t xml:space="preserve">Unmasked Aadhaar in databases; KYC over WhatsApp; no NDA or DPA with vendors.</t>
  </si>
  <si>
    <t xml:space="preserve">Raw ID scans; payroll files on laptops; resumes kept indefinitely; vendor terms and hosting.</t>
  </si>
  <si>
    <t xml:space="preserve">WhatsApp groups with clients; VIP files unencrypted; rosters kept indefinitely; bulk export.</t>
  </si>
  <si>
    <t xml:space="preserve">WhatsApp with clients; NDA-only MSAs; CRM export open; lost leads never purged.</t>
  </si>
  <si>
    <t xml:space="preserve">Dispatch with passenger numbers goes out over WhatsApp groups and chats.</t>
  </si>
  <si>
    <t xml:space="preserve">Not in form</t>
  </si>
  <si>
    <t xml:space="preserve">Consent and unsubscribe not in place; cross-border platforms; agency DPAs unseen.</t>
  </si>
  <si>
    <t xml:space="preserve">Open visitor register; CCTV kept until full; vendor lists on desktops; ID answers conflict.</t>
  </si>
  <si>
    <t xml:space="preserve">Drive links and unencrypted ZIPs; duty slip copies on desktops.</t>
  </si>
  <si>
    <t xml:space="preserve">Auditor files by loose email (High item); exports on laptops; manual deletion.</t>
  </si>
  <si>
    <t xml:space="preserve">Guest names in MIS on request; DLP claimed but not evidenced.</t>
  </si>
  <si>
    <t xml:space="preserve">Manifests exported to laptops; mail region unconfirmed; incident answer blank.</t>
  </si>
  <si>
    <t xml:space="preserve">Restricted server and locked archives; hand-offs by email only.</t>
  </si>
  <si>
    <t xml:space="preserve">Lists and assumptions</t>
  </si>
  <si>
    <t xml:space="preserve">Finding status</t>
  </si>
  <si>
    <t xml:space="preserve">Action status</t>
  </si>
  <si>
    <t xml:space="preserve">Rating / priority</t>
  </si>
  <si>
    <t xml:space="preserve">Yes / No / Partial</t>
  </si>
  <si>
    <t xml:space="preserve">ROPA status</t>
  </si>
  <si>
    <t xml:space="preserve">Retention status</t>
  </si>
  <si>
    <t xml:space="preserve">Reviewed by owner</t>
  </si>
  <si>
    <t xml:space="preserve">Evidence received</t>
  </si>
  <si>
    <t xml:space="preserve">Partial</t>
  </si>
  <si>
    <t xml:space="preserve">Implemented</t>
  </si>
  <si>
    <t xml:space="preserve">Assumptions and sources</t>
  </si>
  <si>
    <t xml:space="preserve">1. Findings, ratings and ROPA content come from 13 HOD interviews held 8 to 14 October 2026.</t>
  </si>
  <si>
    <t xml:space="preserve">2. Priority and preliminary department ratings are the reviewer's synthesis, not auditor scores. Only VRM, Submission and Accounts &amp; Tax trackers carried auditor scores.</t>
  </si>
  <si>
    <t xml:space="preserve">3. Gap = confirmed in the interview. Verify = control claimed or risk conditional; evidence needed.</t>
  </si>
  <si>
    <t xml:space="preserve">4. Target days follow the roadmap: Day 30 Contain, Day 120 Build, Day 210 Sustain. Day 210 from 14 Oct 2026 is 12 May 2027.</t>
  </si>
  <si>
    <t xml:space="preserve">5. Main DPDP Rules duties start about 13 May 2027 (18 months from notification on 13 Nov 2025). Source: DPDP Rules 2025 via Mondaq. Legal to confirm.</t>
  </si>
  <si>
    <t xml:space="preserve">6. DPDP section and rule references are indicative. Legal to confirm.</t>
  </si>
  <si>
    <t xml:space="preserve">7. Proposed lawful bases in the ROPA are for Legal to confirm.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</si>
</sst>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d\-mmm\-yyyy"/>
    <numFmt numFmtId="166" formatCode="0"/>
    <numFmt numFmtId="167" formatCode="General"/>
    <numFmt numFmtId="168" formatCode="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4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4212B"/>
        <bgColor rgb="FF00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C2B0"/>
      </left>
      <right style="thin">
        <color rgb="FFC9C2B0"/>
      </right>
      <top style="thin">
        <color rgb="FFC9C2B0"/>
      </top>
      <bottom style="thin">
        <color rgb="FFC9C2B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8" fontId="7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9">
    <dxf>
      <fill>
        <patternFill patternType="solid">
          <fgColor rgb="FF14212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7A1F14"/>
          <bgColor rgb="FF000000"/>
        </patternFill>
      </fill>
    </dxf>
    <dxf>
      <fill>
        <patternFill patternType="solid">
          <fgColor rgb="FFB8470B"/>
          <bgColor rgb="FF000000"/>
        </patternFill>
      </fill>
    </dxf>
    <dxf>
      <fill>
        <patternFill patternType="solid">
          <fgColor rgb="FFCFE3DA"/>
          <bgColor rgb="FF000000"/>
        </patternFill>
      </fill>
    </dxf>
    <dxf>
      <fill>
        <patternFill patternType="solid">
          <fgColor rgb="FFF2C14E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ont>
        <name val="Arial"/>
        <charset val="1"/>
        <family val="0"/>
        <b val="1"/>
        <color rgb="FFFFFFFF"/>
      </font>
      <fill>
        <patternFill>
          <bgColor rgb="FF7A1F14"/>
        </patternFill>
      </fill>
    </dxf>
    <dxf>
      <font>
        <name val="Arial"/>
        <charset val="1"/>
        <family val="0"/>
        <b val="1"/>
        <color rgb="FFFFFFFF"/>
      </font>
      <fill>
        <patternFill>
          <bgColor rgb="FFB8470B"/>
        </patternFill>
      </fill>
    </dxf>
    <dxf>
      <font>
        <name val="Arial"/>
        <charset val="1"/>
        <family val="0"/>
        <b val="1"/>
        <color rgb="FF14212B"/>
      </font>
      <fill>
        <patternFill>
          <bgColor rgb="FFF2C14E"/>
        </patternFill>
      </fill>
    </dxf>
    <dxf>
      <font>
        <name val="Arial"/>
        <charset val="1"/>
        <family val="0"/>
        <b val="1"/>
        <color rgb="FF14212B"/>
      </font>
      <fill>
        <patternFill>
          <bgColor rgb="FFCFE3DA"/>
        </patternFill>
      </fill>
    </dxf>
    <dxf>
      <fill>
        <patternFill>
          <bgColor rgb="FFCFE3DA"/>
        </patternFill>
      </fill>
    </dxf>
    <dxf>
      <fill>
        <patternFill>
          <bgColor rgb="FFF4B6A6"/>
        </patternFill>
      </fill>
    </dxf>
    <dxf>
      <font>
        <name val="Arial"/>
        <charset val="1"/>
        <family val="0"/>
        <b val="1"/>
        <color rgb="FFB00020"/>
      </font>
    </dxf>
    <dxf>
      <fill>
        <patternFill patternType="solid">
          <fgColor rgb="FFD9E2F3"/>
          <bgColor rgb="FF000000"/>
        </patternFill>
      </fill>
    </dxf>
    <dxf>
      <fill>
        <patternFill>
          <bgColor rgb="FFF2C14E"/>
        </patternFill>
      </fill>
    </dxf>
    <dxf>
      <fill>
        <patternFill>
          <bgColor rgb="FFD9E2F3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A1F14"/>
      <rgbColor rgb="FF008000"/>
      <rgbColor rgb="FF000080"/>
      <rgbColor rgb="FF808000"/>
      <rgbColor rgb="FF800080"/>
      <rgbColor rgb="FF008080"/>
      <rgbColor rgb="FFC9C2B0"/>
      <rgbColor rgb="FF878787"/>
      <rgbColor rgb="FF9999FF"/>
      <rgbColor rgb="FF993366"/>
      <rgbColor rgb="FFFFF2CC"/>
      <rgbColor rgb="FFD9E2F3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B00020"/>
      <rgbColor rgb="FF008080"/>
      <rgbColor rgb="FF0000FF"/>
      <rgbColor rgb="FF00CCFF"/>
      <rgbColor rgb="FFCCFFFF"/>
      <rgbColor rgb="FFCFE3DA"/>
      <rgbColor rgb="FFFFFF99"/>
      <rgbColor rgb="FF99CCFF"/>
      <rgbColor rgb="FFFF99CC"/>
      <rgbColor rgb="FFCC99FF"/>
      <rgbColor rgb="FFF4B6A6"/>
      <rgbColor rgb="FF3366FF"/>
      <rgbColor rgb="FF33CCCC"/>
      <rgbColor rgb="FF99CC00"/>
      <rgbColor rgb="FFF2C14E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B8470B"/>
      <rgbColor rgb="FF993366"/>
      <rgbColor rgb="FF333399"/>
      <rgbColor rgb="FF14212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Findings by theme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stacked"/>
        <c:varyColors val="0"/>
        <c:ser>
          <c:idx val="0"/>
          <c:order val="0"/>
          <c:tx>
            <c:strRef>
              <c:f>Dashboard!F8</c:f>
              <c:strCache>
                <c:ptCount val="1"/>
                <c:pt idx="0">
                  <c:v>Gap</c:v>
                </c:pt>
              </c:strCache>
            </c:strRef>
          </c:tx>
          <c:spPr>
            <a:solidFill>
              <a:srgbClr val="b8470b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Dashboard!$E$9:$E$20</c:f>
              <c:strCache>
                <c:ptCount val="12"/>
                <c:pt idx="0">
                  <c:v>Messaging channels</c:v>
                </c:pt>
                <c:pt idx="1">
                  <c:v>ID masking</c:v>
                </c:pt>
                <c:pt idx="2">
                  <c:v>Local copies</c:v>
                </c:pt>
                <c:pt idx="3">
                  <c:v>Retention</c:v>
                </c:pt>
                <c:pt idx="4">
                  <c:v>Vendor DPAs</c:v>
                </c:pt>
                <c:pt idx="5">
                  <c:v>Notice &amp; consent</c:v>
                </c:pt>
                <c:pt idx="6">
                  <c:v>Cross-border</c:v>
                </c:pt>
                <c:pt idx="7">
                  <c:v>Sharing &amp; minimisation</c:v>
                </c:pt>
                <c:pt idx="8">
                  <c:v>Consent</c:v>
                </c:pt>
                <c:pt idx="9">
                  <c:v>Physical records</c:v>
                </c:pt>
                <c:pt idx="10">
                  <c:v>Incident response</c:v>
                </c:pt>
                <c:pt idx="11">
                  <c:v>Data accuracy</c:v>
                </c:pt>
              </c:strCache>
            </c:strRef>
          </c:cat>
          <c:val>
            <c:numRef>
              <c:f>Dashboard!$F$9:$F$20</c:f>
              <c:numCache>
                <c:formatCode>General</c:formatCode>
                <c:ptCount val="12"/>
                <c:pt idx="0">
                  <c:v>5</c:v>
                </c:pt>
                <c:pt idx="1">
                  <c:v>3</c:v>
                </c:pt>
                <c:pt idx="2">
                  <c:v>8</c:v>
                </c:pt>
                <c:pt idx="3">
                  <c:v>5</c:v>
                </c:pt>
                <c:pt idx="4">
                  <c:v>5</c:v>
                </c:pt>
                <c:pt idx="5">
                  <c:v>2</c:v>
                </c:pt>
                <c:pt idx="6">
                  <c:v>0</c:v>
                </c:pt>
                <c:pt idx="7">
                  <c:v>5</c:v>
                </c:pt>
                <c:pt idx="8">
                  <c:v>1</c:v>
                </c:pt>
                <c:pt idx="9">
                  <c:v>1</c:v>
                </c:pt>
                <c:pt idx="10">
                  <c:v>0</c:v>
                </c:pt>
                <c:pt idx="11">
                  <c:v>1</c:v>
                </c:pt>
              </c:numCache>
            </c:numRef>
          </c:val>
        </c:ser>
        <c:ser>
          <c:idx val="1"/>
          <c:order val="1"/>
          <c:tx>
            <c:strRef>
              <c:f>Dashboard!G8</c:f>
              <c:strCache>
                <c:ptCount val="1"/>
                <c:pt idx="0">
                  <c:v>Verify</c:v>
                </c:pt>
              </c:strCache>
            </c:strRef>
          </c:tx>
          <c:spPr>
            <a:solidFill>
              <a:srgbClr val="f2c14e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Dashboard!$E$9:$E$20</c:f>
              <c:strCache>
                <c:ptCount val="12"/>
                <c:pt idx="0">
                  <c:v>Messaging channels</c:v>
                </c:pt>
                <c:pt idx="1">
                  <c:v>ID masking</c:v>
                </c:pt>
                <c:pt idx="2">
                  <c:v>Local copies</c:v>
                </c:pt>
                <c:pt idx="3">
                  <c:v>Retention</c:v>
                </c:pt>
                <c:pt idx="4">
                  <c:v>Vendor DPAs</c:v>
                </c:pt>
                <c:pt idx="5">
                  <c:v>Notice &amp; consent</c:v>
                </c:pt>
                <c:pt idx="6">
                  <c:v>Cross-border</c:v>
                </c:pt>
                <c:pt idx="7">
                  <c:v>Sharing &amp; minimisation</c:v>
                </c:pt>
                <c:pt idx="8">
                  <c:v>Consent</c:v>
                </c:pt>
                <c:pt idx="9">
                  <c:v>Physical records</c:v>
                </c:pt>
                <c:pt idx="10">
                  <c:v>Incident response</c:v>
                </c:pt>
                <c:pt idx="11">
                  <c:v>Data accuracy</c:v>
                </c:pt>
              </c:strCache>
            </c:strRef>
          </c:cat>
          <c:val>
            <c:numRef>
              <c:f>Dashboard!$G$9:$G$20</c:f>
              <c:numCache>
                <c:formatCode>General</c:formatCode>
                <c:ptCount val="12"/>
                <c:pt idx="0">
                  <c:v>0</c:v>
                </c:pt>
                <c:pt idx="1">
                  <c:v>2</c:v>
                </c:pt>
                <c:pt idx="2">
                  <c:v>2</c:v>
                </c:pt>
                <c:pt idx="3">
                  <c:v>8</c:v>
                </c:pt>
                <c:pt idx="4">
                  <c:v>2</c:v>
                </c:pt>
                <c:pt idx="5">
                  <c:v>2</c:v>
                </c:pt>
                <c:pt idx="6">
                  <c:v>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</c:numCache>
            </c:numRef>
          </c:val>
        </c:ser>
        <c:gapWidth val="150"/>
        <c:overlap val="100"/>
        <c:axId val="91143017"/>
        <c:axId val="54625395"/>
      </c:barChart>
      <c:catAx>
        <c:axId val="9114301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4625395"/>
        <c:crosses val="autoZero"/>
        <c:auto val="1"/>
        <c:lblAlgn val="ctr"/>
        <c:lblOffset val="100"/>
        <c:noMultiLvlLbl val="0"/>
      </c:catAx>
      <c:valAx>
        <c:axId val="5462539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114301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6</xdr:row>
      <xdr:rowOff>130680</xdr:rowOff>
    </xdr:from>
    <xdr:to>
      <xdr:col>18</xdr:col>
      <xdr:colOff>255960</xdr:colOff>
      <xdr:row>23</xdr:row>
      <xdr:rowOff>131760</xdr:rowOff>
    </xdr:to>
    <xdr:graphicFrame>
      <xdr:nvGraphicFramePr>
        <xdr:cNvPr id="0" name="Chart 1"/>
        <xdr:cNvGraphicFramePr/>
      </xdr:nvGraphicFramePr>
      <xdr:xfrm>
        <a:off x="11184120" y="133344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2"/>
  <sheetViews>
    <sheetView showFormulas="false" showGridLines="fals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4"/>
    <col collapsed="false" customWidth="true" hidden="false" outlineLevel="0" max="3" min="3" style="0" width="16"/>
    <col collapsed="false" customWidth="true" hidden="false" outlineLevel="0" max="4" min="4" style="0" width="46"/>
    <col collapsed="false" customWidth="true" hidden="false" outlineLevel="0" max="5" min="5" style="0" width="26"/>
    <col collapsed="false" customWidth="true" hidden="false" outlineLevel="0" max="8" min="6" style="0" width="8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C4" s="4" t="n">
        <v>46309</v>
      </c>
      <c r="D4" s="2" t="s">
        <v>3</v>
      </c>
    </row>
    <row r="5" customFormat="false" ht="15" hidden="false" customHeight="false" outlineLevel="0" collapsed="false">
      <c r="A5" s="3" t="s">
        <v>4</v>
      </c>
      <c r="C5" s="4" t="n">
        <v>46520</v>
      </c>
      <c r="D5" s="2" t="s">
        <v>5</v>
      </c>
    </row>
    <row r="6" customFormat="false" ht="15" hidden="false" customHeight="false" outlineLevel="0" collapsed="false">
      <c r="A6" s="3" t="s">
        <v>6</v>
      </c>
      <c r="C6" s="5" t="n">
        <f aca="true">C5-TODAY()</f>
        <v>211</v>
      </c>
    </row>
    <row r="8" customFormat="false" ht="15" hidden="false" customHeight="false" outlineLevel="0" collapsed="false">
      <c r="A8" s="6" t="s">
        <v>7</v>
      </c>
      <c r="B8" s="7"/>
      <c r="C8" s="7"/>
      <c r="E8" s="8" t="s">
        <v>8</v>
      </c>
      <c r="F8" s="8" t="s">
        <v>9</v>
      </c>
      <c r="G8" s="8" t="s">
        <v>10</v>
      </c>
      <c r="H8" s="8" t="s">
        <v>11</v>
      </c>
    </row>
    <row r="9" customFormat="false" ht="15" hidden="false" customHeight="false" outlineLevel="0" collapsed="false">
      <c r="A9" s="9" t="s">
        <v>12</v>
      </c>
      <c r="B9" s="10"/>
      <c r="C9" s="11" t="n">
        <f aca="false">COUNTA('Gap Register'!$A$5:$A$300)</f>
        <v>58</v>
      </c>
      <c r="E9" s="9" t="s">
        <v>13</v>
      </c>
      <c r="F9" s="12" t="n">
        <f aca="false">COUNTIFS('Gap Register'!$C$5:$C$300,E9,'Gap Register'!$E$5:$E$300,"Gap")</f>
        <v>5</v>
      </c>
      <c r="G9" s="12" t="n">
        <f aca="false">COUNTIFS('Gap Register'!$C$5:$C$300,E9,'Gap Register'!$E$5:$E$300,"Verify")</f>
        <v>0</v>
      </c>
      <c r="H9" s="12" t="n">
        <f aca="false">COUNTIFS('Gap Register'!$C$5:$C$300,E9,'Gap Register'!$J$5:$J$300,"&lt;&gt;Closed")</f>
        <v>5</v>
      </c>
    </row>
    <row r="10" customFormat="false" ht="15" hidden="false" customHeight="false" outlineLevel="0" collapsed="false">
      <c r="A10" s="9" t="s">
        <v>14</v>
      </c>
      <c r="B10" s="10"/>
      <c r="C10" s="11" t="n">
        <f aca="false">COUNTIF('Gap Register'!$E$5:$E$300,"Gap")</f>
        <v>36</v>
      </c>
      <c r="E10" s="9" t="s">
        <v>15</v>
      </c>
      <c r="F10" s="12" t="n">
        <f aca="false">COUNTIFS('Gap Register'!$C$5:$C$300,E10,'Gap Register'!$E$5:$E$300,"Gap")</f>
        <v>3</v>
      </c>
      <c r="G10" s="12" t="n">
        <f aca="false">COUNTIFS('Gap Register'!$C$5:$C$300,E10,'Gap Register'!$E$5:$E$300,"Verify")</f>
        <v>2</v>
      </c>
      <c r="H10" s="12" t="n">
        <f aca="false">COUNTIFS('Gap Register'!$C$5:$C$300,E10,'Gap Register'!$J$5:$J$300,"&lt;&gt;Closed")</f>
        <v>5</v>
      </c>
    </row>
    <row r="11" customFormat="false" ht="15" hidden="false" customHeight="false" outlineLevel="0" collapsed="false">
      <c r="A11" s="9" t="s">
        <v>16</v>
      </c>
      <c r="B11" s="10"/>
      <c r="C11" s="11" t="n">
        <f aca="false">COUNTIF('Gap Register'!$E$5:$E$300,"Verify")</f>
        <v>22</v>
      </c>
      <c r="E11" s="9" t="s">
        <v>17</v>
      </c>
      <c r="F11" s="12" t="n">
        <f aca="false">COUNTIFS('Gap Register'!$C$5:$C$300,E11,'Gap Register'!$E$5:$E$300,"Gap")</f>
        <v>8</v>
      </c>
      <c r="G11" s="12" t="n">
        <f aca="false">COUNTIFS('Gap Register'!$C$5:$C$300,E11,'Gap Register'!$E$5:$E$300,"Verify")</f>
        <v>2</v>
      </c>
      <c r="H11" s="12" t="n">
        <f aca="false">COUNTIFS('Gap Register'!$C$5:$C$300,E11,'Gap Register'!$J$5:$J$300,"&lt;&gt;Closed")</f>
        <v>10</v>
      </c>
    </row>
    <row r="12" customFormat="false" ht="15" hidden="false" customHeight="false" outlineLevel="0" collapsed="false">
      <c r="A12" s="9" t="s">
        <v>18</v>
      </c>
      <c r="B12" s="10"/>
      <c r="C12" s="11" t="n">
        <f aca="false">COUNTIF('Gap Register'!$J$5:$J$300,"Closed")</f>
        <v>0</v>
      </c>
      <c r="E12" s="9" t="s">
        <v>19</v>
      </c>
      <c r="F12" s="12" t="n">
        <f aca="false">COUNTIFS('Gap Register'!$C$5:$C$300,E12,'Gap Register'!$E$5:$E$300,"Gap")</f>
        <v>5</v>
      </c>
      <c r="G12" s="12" t="n">
        <f aca="false">COUNTIFS('Gap Register'!$C$5:$C$300,E12,'Gap Register'!$E$5:$E$300,"Verify")</f>
        <v>8</v>
      </c>
      <c r="H12" s="12" t="n">
        <f aca="false">COUNTIFS('Gap Register'!$C$5:$C$300,E12,'Gap Register'!$J$5:$J$300,"&lt;&gt;Closed")</f>
        <v>13</v>
      </c>
    </row>
    <row r="13" customFormat="false" ht="15" hidden="false" customHeight="false" outlineLevel="0" collapsed="false">
      <c r="A13" s="9" t="s">
        <v>11</v>
      </c>
      <c r="B13" s="10"/>
      <c r="C13" s="11" t="n">
        <f aca="false">C9-C12</f>
        <v>58</v>
      </c>
      <c r="E13" s="9" t="s">
        <v>20</v>
      </c>
      <c r="F13" s="12" t="n">
        <f aca="false">COUNTIFS('Gap Register'!$C$5:$C$300,E13,'Gap Register'!$E$5:$E$300,"Gap")</f>
        <v>5</v>
      </c>
      <c r="G13" s="12" t="n">
        <f aca="false">COUNTIFS('Gap Register'!$C$5:$C$300,E13,'Gap Register'!$E$5:$E$300,"Verify")</f>
        <v>2</v>
      </c>
      <c r="H13" s="12" t="n">
        <f aca="false">COUNTIFS('Gap Register'!$C$5:$C$300,E13,'Gap Register'!$J$5:$J$300,"&lt;&gt;Closed")</f>
        <v>7</v>
      </c>
    </row>
    <row r="14" customFormat="false" ht="15" hidden="false" customHeight="false" outlineLevel="0" collapsed="false">
      <c r="A14" s="9" t="s">
        <v>21</v>
      </c>
      <c r="B14" s="10"/>
      <c r="C14" s="13" t="n">
        <f aca="false">IF(C9=0,0,C12/C9)</f>
        <v>0</v>
      </c>
      <c r="E14" s="9" t="s">
        <v>22</v>
      </c>
      <c r="F14" s="12" t="n">
        <f aca="false">COUNTIFS('Gap Register'!$C$5:$C$300,E14,'Gap Register'!$E$5:$E$300,"Gap")</f>
        <v>2</v>
      </c>
      <c r="G14" s="12" t="n">
        <f aca="false">COUNTIFS('Gap Register'!$C$5:$C$300,E14,'Gap Register'!$E$5:$E$300,"Verify")</f>
        <v>2</v>
      </c>
      <c r="H14" s="12" t="n">
        <f aca="false">COUNTIFS('Gap Register'!$C$5:$C$300,E14,'Gap Register'!$J$5:$J$300,"&lt;&gt;Closed")</f>
        <v>4</v>
      </c>
    </row>
    <row r="15" customFormat="false" ht="15" hidden="false" customHeight="false" outlineLevel="0" collapsed="false">
      <c r="E15" s="9" t="s">
        <v>23</v>
      </c>
      <c r="F15" s="12" t="n">
        <f aca="false">COUNTIFS('Gap Register'!$C$5:$C$300,E15,'Gap Register'!$E$5:$E$300,"Gap")</f>
        <v>0</v>
      </c>
      <c r="G15" s="12" t="n">
        <f aca="false">COUNTIFS('Gap Register'!$C$5:$C$300,E15,'Gap Register'!$E$5:$E$300,"Verify")</f>
        <v>5</v>
      </c>
      <c r="H15" s="12" t="n">
        <f aca="false">COUNTIFS('Gap Register'!$C$5:$C$300,E15,'Gap Register'!$J$5:$J$300,"&lt;&gt;Closed")</f>
        <v>5</v>
      </c>
    </row>
    <row r="16" customFormat="false" ht="15" hidden="false" customHeight="false" outlineLevel="0" collapsed="false">
      <c r="A16" s="6" t="s">
        <v>24</v>
      </c>
      <c r="B16" s="7"/>
      <c r="C16" s="7"/>
      <c r="E16" s="9" t="s">
        <v>25</v>
      </c>
      <c r="F16" s="12" t="n">
        <f aca="false">COUNTIFS('Gap Register'!$C$5:$C$300,E16,'Gap Register'!$E$5:$E$300,"Gap")</f>
        <v>5</v>
      </c>
      <c r="G16" s="12" t="n">
        <f aca="false">COUNTIFS('Gap Register'!$C$5:$C$300,E16,'Gap Register'!$E$5:$E$300,"Verify")</f>
        <v>0</v>
      </c>
      <c r="H16" s="12" t="n">
        <f aca="false">COUNTIFS('Gap Register'!$C$5:$C$300,E16,'Gap Register'!$J$5:$J$300,"&lt;&gt;Closed")</f>
        <v>5</v>
      </c>
    </row>
    <row r="17" customFormat="false" ht="15" hidden="false" customHeight="false" outlineLevel="0" collapsed="false">
      <c r="A17" s="9" t="s">
        <v>26</v>
      </c>
      <c r="B17" s="10"/>
      <c r="C17" s="11" t="n">
        <f aca="false">COUNTA('Action Tracker'!$A$5:$A$15)</f>
        <v>11</v>
      </c>
      <c r="E17" s="9" t="s">
        <v>27</v>
      </c>
      <c r="F17" s="12" t="n">
        <f aca="false">COUNTIFS('Gap Register'!$C$5:$C$300,E17,'Gap Register'!$E$5:$E$300,"Gap")</f>
        <v>1</v>
      </c>
      <c r="G17" s="12" t="n">
        <f aca="false">COUNTIFS('Gap Register'!$C$5:$C$300,E17,'Gap Register'!$E$5:$E$300,"Verify")</f>
        <v>0</v>
      </c>
      <c r="H17" s="12" t="n">
        <f aca="false">COUNTIFS('Gap Register'!$C$5:$C$300,E17,'Gap Register'!$J$5:$J$300,"&lt;&gt;Closed")</f>
        <v>1</v>
      </c>
    </row>
    <row r="18" customFormat="false" ht="15" hidden="false" customHeight="false" outlineLevel="0" collapsed="false">
      <c r="A18" s="9" t="s">
        <v>28</v>
      </c>
      <c r="B18" s="10"/>
      <c r="C18" s="11" t="n">
        <f aca="false">COUNTIF('Action Tracker'!$J$5:$J$15,"Complete")</f>
        <v>0</v>
      </c>
      <c r="E18" s="9" t="s">
        <v>29</v>
      </c>
      <c r="F18" s="12" t="n">
        <f aca="false">COUNTIFS('Gap Register'!$C$5:$C$300,E18,'Gap Register'!$E$5:$E$300,"Gap")</f>
        <v>1</v>
      </c>
      <c r="G18" s="12" t="n">
        <f aca="false">COUNTIFS('Gap Register'!$C$5:$C$300,E18,'Gap Register'!$E$5:$E$300,"Verify")</f>
        <v>0</v>
      </c>
      <c r="H18" s="12" t="n">
        <f aca="false">COUNTIFS('Gap Register'!$C$5:$C$300,E18,'Gap Register'!$J$5:$J$300,"&lt;&gt;Closed")</f>
        <v>1</v>
      </c>
    </row>
    <row r="19" customFormat="false" ht="15" hidden="false" customHeight="false" outlineLevel="0" collapsed="false">
      <c r="A19" s="9" t="s">
        <v>30</v>
      </c>
      <c r="B19" s="10"/>
      <c r="C19" s="11" t="n">
        <f aca="false">COUNTIF('Action Tracker'!$J$5:$J$15,"In progress")</f>
        <v>0</v>
      </c>
      <c r="E19" s="9" t="s">
        <v>31</v>
      </c>
      <c r="F19" s="12" t="n">
        <f aca="false">COUNTIFS('Gap Register'!$C$5:$C$300,E19,'Gap Register'!$E$5:$E$300,"Gap")</f>
        <v>0</v>
      </c>
      <c r="G19" s="12" t="n">
        <f aca="false">COUNTIFS('Gap Register'!$C$5:$C$300,E19,'Gap Register'!$E$5:$E$300,"Verify")</f>
        <v>1</v>
      </c>
      <c r="H19" s="12" t="n">
        <f aca="false">COUNTIFS('Gap Register'!$C$5:$C$300,E19,'Gap Register'!$J$5:$J$300,"&lt;&gt;Closed")</f>
        <v>1</v>
      </c>
    </row>
    <row r="20" customFormat="false" ht="15" hidden="false" customHeight="false" outlineLevel="0" collapsed="false">
      <c r="A20" s="9" t="s">
        <v>32</v>
      </c>
      <c r="B20" s="10"/>
      <c r="C20" s="11" t="n">
        <f aca="false">COUNTIF('Action Tracker'!$J$5:$J$15,"Blocked")</f>
        <v>0</v>
      </c>
      <c r="E20" s="9" t="s">
        <v>33</v>
      </c>
      <c r="F20" s="12" t="n">
        <f aca="false">COUNTIFS('Gap Register'!$C$5:$C$300,E20,'Gap Register'!$E$5:$E$300,"Gap")</f>
        <v>1</v>
      </c>
      <c r="G20" s="12" t="n">
        <f aca="false">COUNTIFS('Gap Register'!$C$5:$C$300,E20,'Gap Register'!$E$5:$E$300,"Verify")</f>
        <v>0</v>
      </c>
      <c r="H20" s="12" t="n">
        <f aca="false">COUNTIFS('Gap Register'!$C$5:$C$300,E20,'Gap Register'!$J$5:$J$300,"&lt;&gt;Closed")</f>
        <v>1</v>
      </c>
    </row>
    <row r="21" customFormat="false" ht="15" hidden="false" customHeight="false" outlineLevel="0" collapsed="false">
      <c r="A21" s="9" t="s">
        <v>34</v>
      </c>
      <c r="B21" s="10"/>
      <c r="C21" s="11" t="n">
        <f aca="true">COUNTIFS('Action Tracker'!$F$5:$F$15,"&lt;"&amp;TODAY(),'Action Tracker'!$J$5:$J$15,"&lt;&gt;Complete")</f>
        <v>0</v>
      </c>
      <c r="E21" s="3" t="s">
        <v>35</v>
      </c>
      <c r="F21" s="14" t="n">
        <f aca="false">SUM(F9:F20)</f>
        <v>36</v>
      </c>
      <c r="G21" s="14" t="n">
        <f aca="false">SUM(G9:G20)</f>
        <v>22</v>
      </c>
      <c r="H21" s="14" t="n">
        <f aca="false">SUM(H9:H20)</f>
        <v>58</v>
      </c>
    </row>
    <row r="22" customFormat="false" ht="15" hidden="false" customHeight="false" outlineLevel="0" collapsed="false">
      <c r="A22" s="9" t="s">
        <v>36</v>
      </c>
      <c r="B22" s="10"/>
      <c r="C22" s="13" t="n">
        <f aca="false">AVERAGE('Action Tracker'!$K$5:$K$15)</f>
        <v>0</v>
      </c>
    </row>
    <row r="24" customFormat="false" ht="15" hidden="false" customHeight="false" outlineLevel="0" collapsed="false">
      <c r="A24" s="6" t="s">
        <v>37</v>
      </c>
      <c r="B24" s="7"/>
      <c r="C24" s="7"/>
    </row>
    <row r="25" customFormat="false" ht="15" hidden="false" customHeight="false" outlineLevel="0" collapsed="false">
      <c r="A25" s="9" t="s">
        <v>38</v>
      </c>
      <c r="B25" s="10"/>
      <c r="C25" s="11" t="n">
        <f aca="false">COUNTIF(Departments!$C$5:$C$17,"Critical")</f>
        <v>2</v>
      </c>
    </row>
    <row r="26" customFormat="false" ht="15" hidden="false" customHeight="false" outlineLevel="0" collapsed="false">
      <c r="A26" s="9" t="s">
        <v>39</v>
      </c>
      <c r="B26" s="10"/>
      <c r="C26" s="11" t="n">
        <f aca="false">COUNTIF(Departments!$C$5:$C$17,"High")</f>
        <v>6</v>
      </c>
    </row>
    <row r="27" customFormat="false" ht="15" hidden="false" customHeight="false" outlineLevel="0" collapsed="false">
      <c r="A27" s="9" t="s">
        <v>40</v>
      </c>
      <c r="B27" s="10"/>
      <c r="C27" s="11" t="n">
        <f aca="false">COUNTIF(Departments!$C$5:$C$17,"Medium")</f>
        <v>4</v>
      </c>
    </row>
    <row r="28" customFormat="false" ht="15" hidden="false" customHeight="false" outlineLevel="0" collapsed="false">
      <c r="A28" s="9" t="s">
        <v>41</v>
      </c>
      <c r="B28" s="10"/>
      <c r="C28" s="11" t="n">
        <f aca="false">COUNTIF(Departments!$C$5:$C$17,"Low")</f>
        <v>1</v>
      </c>
    </row>
    <row r="29" customFormat="false" ht="15" hidden="false" customHeight="false" outlineLevel="0" collapsed="false">
      <c r="A29" s="9" t="s">
        <v>42</v>
      </c>
      <c r="B29" s="10"/>
      <c r="C29" s="15" t="str">
        <f aca="false">COUNTIF(Departments!$H$5:$H$17,"Yes")&amp;" of 13"</f>
        <v>0 of 13</v>
      </c>
    </row>
    <row r="31" customFormat="false" ht="15" hidden="false" customHeight="false" outlineLevel="0" collapsed="false">
      <c r="A31" s="6" t="s">
        <v>43</v>
      </c>
      <c r="B31" s="7"/>
      <c r="C31" s="7"/>
    </row>
    <row r="32" customFormat="false" ht="15" hidden="false" customHeight="false" outlineLevel="0" collapsed="false">
      <c r="A32" s="9" t="s">
        <v>44</v>
      </c>
      <c r="B32" s="10"/>
      <c r="C32" s="11" t="n">
        <f aca="false">COUNTA('Retention Schedule'!$A$5:$A$28)</f>
        <v>24</v>
      </c>
    </row>
    <row r="33" customFormat="false" ht="15" hidden="false" customHeight="false" outlineLevel="0" collapsed="false">
      <c r="A33" s="9" t="s">
        <v>45</v>
      </c>
      <c r="B33" s="10"/>
      <c r="C33" s="11" t="n">
        <f aca="false">COUNTIF('Retention Schedule'!$N$5:$N$28,"Yes")</f>
        <v>0</v>
      </c>
    </row>
    <row r="34" customFormat="false" ht="15" hidden="false" customHeight="false" outlineLevel="0" collapsed="false">
      <c r="A34" s="9" t="s">
        <v>46</v>
      </c>
      <c r="B34" s="10"/>
      <c r="C34" s="11" t="n">
        <f aca="false">COUNTIF('Retention Schedule'!$M$5:$M$28,"Implemented")</f>
        <v>0</v>
      </c>
    </row>
    <row r="35" customFormat="false" ht="15" hidden="false" customHeight="false" outlineLevel="0" collapsed="false">
      <c r="A35" s="9" t="s">
        <v>47</v>
      </c>
      <c r="B35" s="10"/>
      <c r="C35" s="11" t="n">
        <f aca="false">COUNTIF('Retention Schedule'!$H$5:$H$28,"Statutory floor")</f>
        <v>4</v>
      </c>
    </row>
    <row r="36" customFormat="false" ht="15" hidden="false" customHeight="false" outlineLevel="0" collapsed="false">
      <c r="A36" s="9" t="s">
        <v>48</v>
      </c>
      <c r="B36" s="10"/>
      <c r="C36" s="11" t="n">
        <f aca="false">COUNTIF('Retention Schedule'!$H$5:$H$28,"Proposed")</f>
        <v>13</v>
      </c>
    </row>
    <row r="38" customFormat="false" ht="15" hidden="false" customHeight="false" outlineLevel="0" collapsed="false">
      <c r="A38" s="3" t="s">
        <v>49</v>
      </c>
    </row>
    <row r="39" customFormat="false" ht="15" hidden="false" customHeight="false" outlineLevel="0" collapsed="false">
      <c r="A39" s="2" t="s">
        <v>50</v>
      </c>
    </row>
    <row r="40" customFormat="false" ht="15" hidden="false" customHeight="false" outlineLevel="0" collapsed="false">
      <c r="A40" s="2" t="s">
        <v>51</v>
      </c>
    </row>
    <row r="41" customFormat="false" ht="15" hidden="false" customHeight="false" outlineLevel="0" collapsed="false">
      <c r="A41" s="2" t="s">
        <v>52</v>
      </c>
    </row>
    <row r="42" customFormat="false" ht="15" hidden="false" customHeight="false" outlineLevel="0" collapsed="false">
      <c r="A42" s="2" t="s">
        <v>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62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6"/>
    <col collapsed="false" customWidth="true" hidden="false" outlineLevel="0" max="3" min="3" style="0" width="22"/>
    <col collapsed="false" customWidth="true" hidden="false" outlineLevel="0" max="4" min="4" style="0" width="60"/>
    <col collapsed="false" customWidth="true" hidden="false" outlineLevel="0" max="5" min="5" style="0" width="9"/>
    <col collapsed="false" customWidth="true" hidden="false" outlineLevel="0" max="6" min="6" style="0" width="10"/>
    <col collapsed="false" customWidth="true" hidden="false" outlineLevel="0" max="7" min="7" style="0" width="20"/>
    <col collapsed="false" customWidth="true" hidden="false" outlineLevel="0" max="8" min="8" style="0" width="30"/>
    <col collapsed="false" customWidth="true" hidden="false" outlineLevel="0" max="9" min="9" style="0" width="10"/>
    <col collapsed="false" customWidth="true" hidden="false" outlineLevel="0" max="10" min="10" style="0" width="16"/>
    <col collapsed="false" customWidth="true" hidden="false" outlineLevel="0" max="11" min="11" style="0" width="13"/>
    <col collapsed="false" customWidth="true" hidden="false" outlineLevel="0" max="12" min="12" style="0" width="18"/>
    <col collapsed="false" customWidth="true" hidden="false" outlineLevel="0" max="13" min="13" style="0" width="34"/>
  </cols>
  <sheetData>
    <row r="1" customFormat="false" ht="17.35" hidden="false" customHeight="false" outlineLevel="0" collapsed="false">
      <c r="A1" s="16" t="s">
        <v>54</v>
      </c>
    </row>
    <row r="2" customFormat="false" ht="15" hidden="false" customHeight="false" outlineLevel="0" collapsed="false">
      <c r="A2" s="2" t="s">
        <v>55</v>
      </c>
    </row>
    <row r="4" customFormat="false" ht="31.5" hidden="false" customHeight="true" outlineLevel="0" collapsed="false">
      <c r="A4" s="17" t="s">
        <v>56</v>
      </c>
      <c r="B4" s="17" t="s">
        <v>57</v>
      </c>
      <c r="C4" s="17" t="s">
        <v>8</v>
      </c>
      <c r="D4" s="17" t="s">
        <v>58</v>
      </c>
      <c r="E4" s="17" t="s">
        <v>59</v>
      </c>
      <c r="F4" s="17" t="s">
        <v>60</v>
      </c>
      <c r="G4" s="17" t="s">
        <v>61</v>
      </c>
      <c r="H4" s="17" t="s">
        <v>62</v>
      </c>
      <c r="I4" s="17" t="s">
        <v>63</v>
      </c>
      <c r="J4" s="17" t="s">
        <v>64</v>
      </c>
      <c r="K4" s="17" t="s">
        <v>65</v>
      </c>
      <c r="L4" s="17" t="s">
        <v>66</v>
      </c>
      <c r="M4" s="17" t="s">
        <v>67</v>
      </c>
    </row>
    <row r="5" customFormat="false" ht="23.85" hidden="false" customHeight="false" outlineLevel="0" collapsed="false">
      <c r="A5" s="18" t="s">
        <v>68</v>
      </c>
      <c r="B5" s="19" t="s">
        <v>69</v>
      </c>
      <c r="C5" s="19" t="s">
        <v>13</v>
      </c>
      <c r="D5" s="19" t="s">
        <v>70</v>
      </c>
      <c r="E5" s="18" t="s">
        <v>9</v>
      </c>
      <c r="F5" s="18" t="s">
        <v>38</v>
      </c>
      <c r="G5" s="19" t="s">
        <v>71</v>
      </c>
      <c r="H5" s="19" t="s">
        <v>72</v>
      </c>
      <c r="I5" s="18" t="s">
        <v>73</v>
      </c>
      <c r="J5" s="20" t="s">
        <v>11</v>
      </c>
      <c r="K5" s="21" t="n">
        <f aca="false">IFERROR(INDEX('Action Tracker'!$F$5:$F$15,MATCH(I5,'Action Tracker'!$A$5:$A$15,0)),"")</f>
        <v>46339</v>
      </c>
      <c r="L5" s="22"/>
      <c r="M5" s="22"/>
    </row>
    <row r="6" customFormat="false" ht="23.85" hidden="false" customHeight="false" outlineLevel="0" collapsed="false">
      <c r="A6" s="18" t="s">
        <v>74</v>
      </c>
      <c r="B6" s="19" t="s">
        <v>75</v>
      </c>
      <c r="C6" s="19" t="s">
        <v>13</v>
      </c>
      <c r="D6" s="19" t="s">
        <v>76</v>
      </c>
      <c r="E6" s="18" t="s">
        <v>9</v>
      </c>
      <c r="F6" s="18" t="s">
        <v>39</v>
      </c>
      <c r="G6" s="19" t="s">
        <v>71</v>
      </c>
      <c r="H6" s="19" t="s">
        <v>77</v>
      </c>
      <c r="I6" s="18" t="s">
        <v>73</v>
      </c>
      <c r="J6" s="20" t="s">
        <v>11</v>
      </c>
      <c r="K6" s="21" t="n">
        <f aca="false">IFERROR(INDEX('Action Tracker'!$F$5:$F$15,MATCH(I6,'Action Tracker'!$A$5:$A$15,0)),"")</f>
        <v>46339</v>
      </c>
      <c r="L6" s="22"/>
      <c r="M6" s="22"/>
    </row>
    <row r="7" customFormat="false" ht="23.85" hidden="false" customHeight="false" outlineLevel="0" collapsed="false">
      <c r="A7" s="18" t="s">
        <v>78</v>
      </c>
      <c r="B7" s="19" t="s">
        <v>79</v>
      </c>
      <c r="C7" s="19" t="s">
        <v>13</v>
      </c>
      <c r="D7" s="19" t="s">
        <v>80</v>
      </c>
      <c r="E7" s="18" t="s">
        <v>9</v>
      </c>
      <c r="F7" s="18" t="s">
        <v>39</v>
      </c>
      <c r="G7" s="19" t="s">
        <v>71</v>
      </c>
      <c r="H7" s="19" t="s">
        <v>81</v>
      </c>
      <c r="I7" s="18" t="s">
        <v>73</v>
      </c>
      <c r="J7" s="20" t="s">
        <v>11</v>
      </c>
      <c r="K7" s="21" t="n">
        <f aca="false">IFERROR(INDEX('Action Tracker'!$F$5:$F$15,MATCH(I7,'Action Tracker'!$A$5:$A$15,0)),"")</f>
        <v>46339</v>
      </c>
      <c r="L7" s="22"/>
      <c r="M7" s="22"/>
    </row>
    <row r="8" customFormat="false" ht="23.85" hidden="false" customHeight="false" outlineLevel="0" collapsed="false">
      <c r="A8" s="18" t="s">
        <v>82</v>
      </c>
      <c r="B8" s="19" t="s">
        <v>83</v>
      </c>
      <c r="C8" s="19" t="s">
        <v>13</v>
      </c>
      <c r="D8" s="19" t="s">
        <v>84</v>
      </c>
      <c r="E8" s="18" t="s">
        <v>9</v>
      </c>
      <c r="F8" s="18" t="s">
        <v>39</v>
      </c>
      <c r="G8" s="19" t="s">
        <v>71</v>
      </c>
      <c r="H8" s="19" t="s">
        <v>85</v>
      </c>
      <c r="I8" s="18" t="s">
        <v>73</v>
      </c>
      <c r="J8" s="20" t="s">
        <v>11</v>
      </c>
      <c r="K8" s="21" t="n">
        <f aca="false">IFERROR(INDEX('Action Tracker'!$F$5:$F$15,MATCH(I8,'Action Tracker'!$A$5:$A$15,0)),"")</f>
        <v>46339</v>
      </c>
      <c r="L8" s="22"/>
      <c r="M8" s="22"/>
    </row>
    <row r="9" customFormat="false" ht="23.85" hidden="false" customHeight="false" outlineLevel="0" collapsed="false">
      <c r="A9" s="18" t="s">
        <v>86</v>
      </c>
      <c r="B9" s="19" t="s">
        <v>87</v>
      </c>
      <c r="C9" s="19" t="s">
        <v>13</v>
      </c>
      <c r="D9" s="19" t="s">
        <v>88</v>
      </c>
      <c r="E9" s="18" t="s">
        <v>9</v>
      </c>
      <c r="F9" s="18" t="s">
        <v>39</v>
      </c>
      <c r="G9" s="19" t="s">
        <v>71</v>
      </c>
      <c r="H9" s="19" t="s">
        <v>89</v>
      </c>
      <c r="I9" s="18" t="s">
        <v>73</v>
      </c>
      <c r="J9" s="20" t="s">
        <v>11</v>
      </c>
      <c r="K9" s="21" t="n">
        <f aca="false">IFERROR(INDEX('Action Tracker'!$F$5:$F$15,MATCH(I9,'Action Tracker'!$A$5:$A$15,0)),"")</f>
        <v>46339</v>
      </c>
      <c r="L9" s="22"/>
      <c r="M9" s="22"/>
    </row>
    <row r="10" customFormat="false" ht="23.85" hidden="false" customHeight="false" outlineLevel="0" collapsed="false">
      <c r="A10" s="18" t="s">
        <v>90</v>
      </c>
      <c r="B10" s="19" t="s">
        <v>69</v>
      </c>
      <c r="C10" s="19" t="s">
        <v>15</v>
      </c>
      <c r="D10" s="19" t="s">
        <v>91</v>
      </c>
      <c r="E10" s="18" t="s">
        <v>9</v>
      </c>
      <c r="F10" s="18" t="s">
        <v>39</v>
      </c>
      <c r="G10" s="19" t="s">
        <v>92</v>
      </c>
      <c r="H10" s="19" t="s">
        <v>72</v>
      </c>
      <c r="I10" s="18" t="s">
        <v>93</v>
      </c>
      <c r="J10" s="20" t="s">
        <v>11</v>
      </c>
      <c r="K10" s="21" t="n">
        <f aca="false">IFERROR(INDEX('Action Tracker'!$F$5:$F$15,MATCH(I10,'Action Tracker'!$A$5:$A$15,0)),"")</f>
        <v>46429</v>
      </c>
      <c r="L10" s="22"/>
      <c r="M10" s="22"/>
    </row>
    <row r="11" customFormat="false" ht="23.85" hidden="false" customHeight="false" outlineLevel="0" collapsed="false">
      <c r="A11" s="18" t="s">
        <v>94</v>
      </c>
      <c r="B11" s="19" t="s">
        <v>75</v>
      </c>
      <c r="C11" s="19" t="s">
        <v>15</v>
      </c>
      <c r="D11" s="19" t="s">
        <v>95</v>
      </c>
      <c r="E11" s="18" t="s">
        <v>9</v>
      </c>
      <c r="F11" s="18" t="s">
        <v>39</v>
      </c>
      <c r="G11" s="19" t="s">
        <v>92</v>
      </c>
      <c r="H11" s="19" t="s">
        <v>77</v>
      </c>
      <c r="I11" s="18" t="s">
        <v>93</v>
      </c>
      <c r="J11" s="20" t="s">
        <v>11</v>
      </c>
      <c r="K11" s="21" t="n">
        <f aca="false">IFERROR(INDEX('Action Tracker'!$F$5:$F$15,MATCH(I11,'Action Tracker'!$A$5:$A$15,0)),"")</f>
        <v>46429</v>
      </c>
      <c r="L11" s="22"/>
      <c r="M11" s="22"/>
    </row>
    <row r="12" customFormat="false" ht="23.85" hidden="false" customHeight="false" outlineLevel="0" collapsed="false">
      <c r="A12" s="18" t="s">
        <v>96</v>
      </c>
      <c r="B12" s="19" t="s">
        <v>97</v>
      </c>
      <c r="C12" s="19" t="s">
        <v>15</v>
      </c>
      <c r="D12" s="19" t="s">
        <v>98</v>
      </c>
      <c r="E12" s="18" t="s">
        <v>9</v>
      </c>
      <c r="F12" s="18" t="s">
        <v>39</v>
      </c>
      <c r="G12" s="19" t="s">
        <v>92</v>
      </c>
      <c r="H12" s="19" t="s">
        <v>99</v>
      </c>
      <c r="I12" s="18" t="s">
        <v>93</v>
      </c>
      <c r="J12" s="20" t="s">
        <v>11</v>
      </c>
      <c r="K12" s="21" t="n">
        <f aca="false">IFERROR(INDEX('Action Tracker'!$F$5:$F$15,MATCH(I12,'Action Tracker'!$A$5:$A$15,0)),"")</f>
        <v>46429</v>
      </c>
      <c r="L12" s="22"/>
      <c r="M12" s="22"/>
    </row>
    <row r="13" customFormat="false" ht="23.85" hidden="false" customHeight="false" outlineLevel="0" collapsed="false">
      <c r="A13" s="18" t="s">
        <v>100</v>
      </c>
      <c r="B13" s="19" t="s">
        <v>101</v>
      </c>
      <c r="C13" s="19" t="s">
        <v>15</v>
      </c>
      <c r="D13" s="19" t="s">
        <v>102</v>
      </c>
      <c r="E13" s="18" t="s">
        <v>10</v>
      </c>
      <c r="F13" s="18" t="s">
        <v>40</v>
      </c>
      <c r="G13" s="19" t="s">
        <v>92</v>
      </c>
      <c r="H13" s="19" t="s">
        <v>103</v>
      </c>
      <c r="I13" s="18" t="s">
        <v>93</v>
      </c>
      <c r="J13" s="20" t="s">
        <v>11</v>
      </c>
      <c r="K13" s="21" t="n">
        <f aca="false">IFERROR(INDEX('Action Tracker'!$F$5:$F$15,MATCH(I13,'Action Tracker'!$A$5:$A$15,0)),"")</f>
        <v>46429</v>
      </c>
      <c r="L13" s="22"/>
      <c r="M13" s="22"/>
    </row>
    <row r="14" customFormat="false" ht="23.85" hidden="false" customHeight="false" outlineLevel="0" collapsed="false">
      <c r="A14" s="18" t="s">
        <v>104</v>
      </c>
      <c r="B14" s="19" t="s">
        <v>105</v>
      </c>
      <c r="C14" s="19" t="s">
        <v>15</v>
      </c>
      <c r="D14" s="19" t="s">
        <v>106</v>
      </c>
      <c r="E14" s="18" t="s">
        <v>10</v>
      </c>
      <c r="F14" s="18" t="s">
        <v>40</v>
      </c>
      <c r="G14" s="19" t="s">
        <v>92</v>
      </c>
      <c r="H14" s="19" t="s">
        <v>107</v>
      </c>
      <c r="I14" s="18" t="s">
        <v>93</v>
      </c>
      <c r="J14" s="20" t="s">
        <v>11</v>
      </c>
      <c r="K14" s="21" t="n">
        <f aca="false">IFERROR(INDEX('Action Tracker'!$F$5:$F$15,MATCH(I14,'Action Tracker'!$A$5:$A$15,0)),"")</f>
        <v>46429</v>
      </c>
      <c r="L14" s="22"/>
      <c r="M14" s="22"/>
    </row>
    <row r="15" customFormat="false" ht="23.85" hidden="false" customHeight="false" outlineLevel="0" collapsed="false">
      <c r="A15" s="18" t="s">
        <v>108</v>
      </c>
      <c r="B15" s="19" t="s">
        <v>69</v>
      </c>
      <c r="C15" s="19" t="s">
        <v>17</v>
      </c>
      <c r="D15" s="19" t="s">
        <v>109</v>
      </c>
      <c r="E15" s="18" t="s">
        <v>9</v>
      </c>
      <c r="F15" s="18" t="s">
        <v>39</v>
      </c>
      <c r="G15" s="19" t="s">
        <v>71</v>
      </c>
      <c r="H15" s="19" t="s">
        <v>72</v>
      </c>
      <c r="I15" s="18" t="s">
        <v>110</v>
      </c>
      <c r="J15" s="20" t="s">
        <v>11</v>
      </c>
      <c r="K15" s="21" t="n">
        <f aca="false">IFERROR(INDEX('Action Tracker'!$F$5:$F$15,MATCH(I15,'Action Tracker'!$A$5:$A$15,0)),"")</f>
        <v>46429</v>
      </c>
      <c r="L15" s="22"/>
      <c r="M15" s="22"/>
    </row>
    <row r="16" customFormat="false" ht="23.85" hidden="false" customHeight="false" outlineLevel="0" collapsed="false">
      <c r="A16" s="18" t="s">
        <v>111</v>
      </c>
      <c r="B16" s="19" t="s">
        <v>97</v>
      </c>
      <c r="C16" s="19" t="s">
        <v>17</v>
      </c>
      <c r="D16" s="19" t="s">
        <v>112</v>
      </c>
      <c r="E16" s="18" t="s">
        <v>9</v>
      </c>
      <c r="F16" s="18" t="s">
        <v>40</v>
      </c>
      <c r="G16" s="19" t="s">
        <v>71</v>
      </c>
      <c r="H16" s="19" t="s">
        <v>99</v>
      </c>
      <c r="I16" s="18" t="s">
        <v>110</v>
      </c>
      <c r="J16" s="20" t="s">
        <v>11</v>
      </c>
      <c r="K16" s="21" t="n">
        <f aca="false">IFERROR(INDEX('Action Tracker'!$F$5:$F$15,MATCH(I16,'Action Tracker'!$A$5:$A$15,0)),"")</f>
        <v>46429</v>
      </c>
      <c r="L16" s="22"/>
      <c r="M16" s="22"/>
    </row>
    <row r="17" customFormat="false" ht="15" hidden="false" customHeight="false" outlineLevel="0" collapsed="false">
      <c r="A17" s="18" t="s">
        <v>113</v>
      </c>
      <c r="B17" s="19" t="s">
        <v>79</v>
      </c>
      <c r="C17" s="19" t="s">
        <v>17</v>
      </c>
      <c r="D17" s="19" t="s">
        <v>114</v>
      </c>
      <c r="E17" s="18" t="s">
        <v>9</v>
      </c>
      <c r="F17" s="18" t="s">
        <v>40</v>
      </c>
      <c r="G17" s="19" t="s">
        <v>71</v>
      </c>
      <c r="H17" s="19" t="s">
        <v>81</v>
      </c>
      <c r="I17" s="18" t="s">
        <v>110</v>
      </c>
      <c r="J17" s="20" t="s">
        <v>11</v>
      </c>
      <c r="K17" s="21" t="n">
        <f aca="false">IFERROR(INDEX('Action Tracker'!$F$5:$F$15,MATCH(I17,'Action Tracker'!$A$5:$A$15,0)),"")</f>
        <v>46429</v>
      </c>
      <c r="L17" s="22"/>
      <c r="M17" s="22"/>
    </row>
    <row r="18" customFormat="false" ht="23.85" hidden="false" customHeight="false" outlineLevel="0" collapsed="false">
      <c r="A18" s="18" t="s">
        <v>115</v>
      </c>
      <c r="B18" s="19" t="s">
        <v>83</v>
      </c>
      <c r="C18" s="19" t="s">
        <v>17</v>
      </c>
      <c r="D18" s="19" t="s">
        <v>116</v>
      </c>
      <c r="E18" s="18" t="s">
        <v>9</v>
      </c>
      <c r="F18" s="18" t="s">
        <v>40</v>
      </c>
      <c r="G18" s="19" t="s">
        <v>71</v>
      </c>
      <c r="H18" s="19" t="s">
        <v>85</v>
      </c>
      <c r="I18" s="18" t="s">
        <v>110</v>
      </c>
      <c r="J18" s="20" t="s">
        <v>11</v>
      </c>
      <c r="K18" s="21" t="n">
        <f aca="false">IFERROR(INDEX('Action Tracker'!$F$5:$F$15,MATCH(I18,'Action Tracker'!$A$5:$A$15,0)),"")</f>
        <v>46429</v>
      </c>
      <c r="L18" s="22"/>
      <c r="M18" s="22"/>
    </row>
    <row r="19" customFormat="false" ht="15" hidden="false" customHeight="false" outlineLevel="0" collapsed="false">
      <c r="A19" s="18" t="s">
        <v>117</v>
      </c>
      <c r="B19" s="19" t="s">
        <v>101</v>
      </c>
      <c r="C19" s="19" t="s">
        <v>17</v>
      </c>
      <c r="D19" s="19" t="s">
        <v>118</v>
      </c>
      <c r="E19" s="18" t="s">
        <v>9</v>
      </c>
      <c r="F19" s="18" t="s">
        <v>40</v>
      </c>
      <c r="G19" s="19" t="s">
        <v>71</v>
      </c>
      <c r="H19" s="19" t="s">
        <v>103</v>
      </c>
      <c r="I19" s="18" t="s">
        <v>110</v>
      </c>
      <c r="J19" s="20" t="s">
        <v>11</v>
      </c>
      <c r="K19" s="21" t="n">
        <f aca="false">IFERROR(INDEX('Action Tracker'!$F$5:$F$15,MATCH(I19,'Action Tracker'!$A$5:$A$15,0)),"")</f>
        <v>46429</v>
      </c>
      <c r="L19" s="22"/>
      <c r="M19" s="22"/>
    </row>
    <row r="20" customFormat="false" ht="23.85" hidden="false" customHeight="false" outlineLevel="0" collapsed="false">
      <c r="A20" s="18" t="s">
        <v>119</v>
      </c>
      <c r="B20" s="19" t="s">
        <v>120</v>
      </c>
      <c r="C20" s="19" t="s">
        <v>17</v>
      </c>
      <c r="D20" s="19" t="s">
        <v>121</v>
      </c>
      <c r="E20" s="18" t="s">
        <v>9</v>
      </c>
      <c r="F20" s="18" t="s">
        <v>40</v>
      </c>
      <c r="G20" s="19" t="s">
        <v>71</v>
      </c>
      <c r="H20" s="19" t="s">
        <v>122</v>
      </c>
      <c r="I20" s="18" t="s">
        <v>110</v>
      </c>
      <c r="J20" s="20" t="s">
        <v>11</v>
      </c>
      <c r="K20" s="21" t="n">
        <f aca="false">IFERROR(INDEX('Action Tracker'!$F$5:$F$15,MATCH(I20,'Action Tracker'!$A$5:$A$15,0)),"")</f>
        <v>46429</v>
      </c>
      <c r="L20" s="22"/>
      <c r="M20" s="22"/>
    </row>
    <row r="21" customFormat="false" ht="23.85" hidden="false" customHeight="false" outlineLevel="0" collapsed="false">
      <c r="A21" s="18" t="s">
        <v>123</v>
      </c>
      <c r="B21" s="19" t="s">
        <v>105</v>
      </c>
      <c r="C21" s="19" t="s">
        <v>17</v>
      </c>
      <c r="D21" s="19" t="s">
        <v>124</v>
      </c>
      <c r="E21" s="18" t="s">
        <v>9</v>
      </c>
      <c r="F21" s="18" t="s">
        <v>40</v>
      </c>
      <c r="G21" s="19" t="s">
        <v>71</v>
      </c>
      <c r="H21" s="19" t="s">
        <v>107</v>
      </c>
      <c r="I21" s="18" t="s">
        <v>110</v>
      </c>
      <c r="J21" s="20" t="s">
        <v>11</v>
      </c>
      <c r="K21" s="21" t="n">
        <f aca="false">IFERROR(INDEX('Action Tracker'!$F$5:$F$15,MATCH(I21,'Action Tracker'!$A$5:$A$15,0)),"")</f>
        <v>46429</v>
      </c>
      <c r="L21" s="22"/>
      <c r="M21" s="22"/>
    </row>
    <row r="22" customFormat="false" ht="23.85" hidden="false" customHeight="false" outlineLevel="0" collapsed="false">
      <c r="A22" s="18" t="s">
        <v>125</v>
      </c>
      <c r="B22" s="19" t="s">
        <v>126</v>
      </c>
      <c r="C22" s="19" t="s">
        <v>17</v>
      </c>
      <c r="D22" s="19" t="s">
        <v>127</v>
      </c>
      <c r="E22" s="18" t="s">
        <v>9</v>
      </c>
      <c r="F22" s="18" t="s">
        <v>40</v>
      </c>
      <c r="G22" s="19" t="s">
        <v>71</v>
      </c>
      <c r="H22" s="19" t="s">
        <v>128</v>
      </c>
      <c r="I22" s="18" t="s">
        <v>110</v>
      </c>
      <c r="J22" s="20" t="s">
        <v>11</v>
      </c>
      <c r="K22" s="21" t="n">
        <f aca="false">IFERROR(INDEX('Action Tracker'!$F$5:$F$15,MATCH(I22,'Action Tracker'!$A$5:$A$15,0)),"")</f>
        <v>46429</v>
      </c>
      <c r="L22" s="22"/>
      <c r="M22" s="22"/>
    </row>
    <row r="23" customFormat="false" ht="23.85" hidden="false" customHeight="false" outlineLevel="0" collapsed="false">
      <c r="A23" s="18" t="s">
        <v>129</v>
      </c>
      <c r="B23" s="19" t="s">
        <v>75</v>
      </c>
      <c r="C23" s="19" t="s">
        <v>17</v>
      </c>
      <c r="D23" s="19" t="s">
        <v>130</v>
      </c>
      <c r="E23" s="18" t="s">
        <v>10</v>
      </c>
      <c r="F23" s="18" t="s">
        <v>40</v>
      </c>
      <c r="G23" s="19" t="s">
        <v>71</v>
      </c>
      <c r="H23" s="19" t="s">
        <v>77</v>
      </c>
      <c r="I23" s="18" t="s">
        <v>110</v>
      </c>
      <c r="J23" s="20" t="s">
        <v>11</v>
      </c>
      <c r="K23" s="21" t="n">
        <f aca="false">IFERROR(INDEX('Action Tracker'!$F$5:$F$15,MATCH(I23,'Action Tracker'!$A$5:$A$15,0)),"")</f>
        <v>46429</v>
      </c>
      <c r="L23" s="22"/>
      <c r="M23" s="22"/>
    </row>
    <row r="24" customFormat="false" ht="23.85" hidden="false" customHeight="false" outlineLevel="0" collapsed="false">
      <c r="A24" s="18" t="s">
        <v>131</v>
      </c>
      <c r="B24" s="19" t="s">
        <v>132</v>
      </c>
      <c r="C24" s="19" t="s">
        <v>17</v>
      </c>
      <c r="D24" s="19" t="s">
        <v>133</v>
      </c>
      <c r="E24" s="18" t="s">
        <v>10</v>
      </c>
      <c r="F24" s="18" t="s">
        <v>40</v>
      </c>
      <c r="G24" s="19" t="s">
        <v>71</v>
      </c>
      <c r="H24" s="19" t="s">
        <v>134</v>
      </c>
      <c r="I24" s="18" t="s">
        <v>110</v>
      </c>
      <c r="J24" s="20" t="s">
        <v>11</v>
      </c>
      <c r="K24" s="21" t="n">
        <f aca="false">IFERROR(INDEX('Action Tracker'!$F$5:$F$15,MATCH(I24,'Action Tracker'!$A$5:$A$15,0)),"")</f>
        <v>46429</v>
      </c>
      <c r="L24" s="22"/>
      <c r="M24" s="22"/>
    </row>
    <row r="25" customFormat="false" ht="23.85" hidden="false" customHeight="false" outlineLevel="0" collapsed="false">
      <c r="A25" s="18" t="s">
        <v>135</v>
      </c>
      <c r="B25" s="19" t="s">
        <v>69</v>
      </c>
      <c r="C25" s="19" t="s">
        <v>19</v>
      </c>
      <c r="D25" s="19" t="s">
        <v>136</v>
      </c>
      <c r="E25" s="18" t="s">
        <v>9</v>
      </c>
      <c r="F25" s="18" t="s">
        <v>39</v>
      </c>
      <c r="G25" s="19" t="s">
        <v>137</v>
      </c>
      <c r="H25" s="19" t="s">
        <v>72</v>
      </c>
      <c r="I25" s="18" t="s">
        <v>138</v>
      </c>
      <c r="J25" s="20" t="s">
        <v>11</v>
      </c>
      <c r="K25" s="21" t="n">
        <f aca="false">IFERROR(INDEX('Action Tracker'!$F$5:$F$15,MATCH(I25,'Action Tracker'!$A$5:$A$15,0)),"")</f>
        <v>46429</v>
      </c>
      <c r="L25" s="22"/>
      <c r="M25" s="22"/>
    </row>
    <row r="26" customFormat="false" ht="23.85" hidden="false" customHeight="false" outlineLevel="0" collapsed="false">
      <c r="A26" s="18" t="s">
        <v>139</v>
      </c>
      <c r="B26" s="19" t="s">
        <v>97</v>
      </c>
      <c r="C26" s="19" t="s">
        <v>19</v>
      </c>
      <c r="D26" s="19" t="s">
        <v>140</v>
      </c>
      <c r="E26" s="18" t="s">
        <v>9</v>
      </c>
      <c r="F26" s="18" t="s">
        <v>40</v>
      </c>
      <c r="G26" s="19" t="s">
        <v>137</v>
      </c>
      <c r="H26" s="19" t="s">
        <v>99</v>
      </c>
      <c r="I26" s="18" t="s">
        <v>138</v>
      </c>
      <c r="J26" s="20" t="s">
        <v>11</v>
      </c>
      <c r="K26" s="21" t="n">
        <f aca="false">IFERROR(INDEX('Action Tracker'!$F$5:$F$15,MATCH(I26,'Action Tracker'!$A$5:$A$15,0)),"")</f>
        <v>46429</v>
      </c>
      <c r="L26" s="22"/>
      <c r="M26" s="22"/>
    </row>
    <row r="27" customFormat="false" ht="15" hidden="false" customHeight="false" outlineLevel="0" collapsed="false">
      <c r="A27" s="18" t="s">
        <v>141</v>
      </c>
      <c r="B27" s="19" t="s">
        <v>79</v>
      </c>
      <c r="C27" s="19" t="s">
        <v>19</v>
      </c>
      <c r="D27" s="19" t="s">
        <v>142</v>
      </c>
      <c r="E27" s="18" t="s">
        <v>9</v>
      </c>
      <c r="F27" s="18" t="s">
        <v>40</v>
      </c>
      <c r="G27" s="19" t="s">
        <v>137</v>
      </c>
      <c r="H27" s="19" t="s">
        <v>81</v>
      </c>
      <c r="I27" s="18" t="s">
        <v>138</v>
      </c>
      <c r="J27" s="20" t="s">
        <v>11</v>
      </c>
      <c r="K27" s="21" t="n">
        <f aca="false">IFERROR(INDEX('Action Tracker'!$F$5:$F$15,MATCH(I27,'Action Tracker'!$A$5:$A$15,0)),"")</f>
        <v>46429</v>
      </c>
      <c r="L27" s="22"/>
      <c r="M27" s="22"/>
    </row>
    <row r="28" customFormat="false" ht="15" hidden="false" customHeight="false" outlineLevel="0" collapsed="false">
      <c r="A28" s="18" t="s">
        <v>143</v>
      </c>
      <c r="B28" s="19" t="s">
        <v>83</v>
      </c>
      <c r="C28" s="19" t="s">
        <v>19</v>
      </c>
      <c r="D28" s="19" t="s">
        <v>144</v>
      </c>
      <c r="E28" s="18" t="s">
        <v>9</v>
      </c>
      <c r="F28" s="18" t="s">
        <v>40</v>
      </c>
      <c r="G28" s="19" t="s">
        <v>137</v>
      </c>
      <c r="H28" s="19" t="s">
        <v>85</v>
      </c>
      <c r="I28" s="18" t="s">
        <v>138</v>
      </c>
      <c r="J28" s="20" t="s">
        <v>11</v>
      </c>
      <c r="K28" s="21" t="n">
        <f aca="false">IFERROR(INDEX('Action Tracker'!$F$5:$F$15,MATCH(I28,'Action Tracker'!$A$5:$A$15,0)),"")</f>
        <v>46429</v>
      </c>
      <c r="L28" s="22"/>
      <c r="M28" s="22"/>
    </row>
    <row r="29" customFormat="false" ht="15" hidden="false" customHeight="false" outlineLevel="0" collapsed="false">
      <c r="A29" s="18" t="s">
        <v>145</v>
      </c>
      <c r="B29" s="19" t="s">
        <v>101</v>
      </c>
      <c r="C29" s="19" t="s">
        <v>19</v>
      </c>
      <c r="D29" s="19" t="s">
        <v>146</v>
      </c>
      <c r="E29" s="18" t="s">
        <v>9</v>
      </c>
      <c r="F29" s="18" t="s">
        <v>40</v>
      </c>
      <c r="G29" s="19" t="s">
        <v>137</v>
      </c>
      <c r="H29" s="19" t="s">
        <v>103</v>
      </c>
      <c r="I29" s="18" t="s">
        <v>138</v>
      </c>
      <c r="J29" s="20" t="s">
        <v>11</v>
      </c>
      <c r="K29" s="21" t="n">
        <f aca="false">IFERROR(INDEX('Action Tracker'!$F$5:$F$15,MATCH(I29,'Action Tracker'!$A$5:$A$15,0)),"")</f>
        <v>46429</v>
      </c>
      <c r="L29" s="22"/>
      <c r="M29" s="22"/>
    </row>
    <row r="30" customFormat="false" ht="23.85" hidden="false" customHeight="false" outlineLevel="0" collapsed="false">
      <c r="A30" s="18" t="s">
        <v>147</v>
      </c>
      <c r="B30" s="19" t="s">
        <v>75</v>
      </c>
      <c r="C30" s="19" t="s">
        <v>19</v>
      </c>
      <c r="D30" s="19" t="s">
        <v>148</v>
      </c>
      <c r="E30" s="18" t="s">
        <v>10</v>
      </c>
      <c r="F30" s="18" t="s">
        <v>40</v>
      </c>
      <c r="G30" s="19" t="s">
        <v>137</v>
      </c>
      <c r="H30" s="19" t="s">
        <v>77</v>
      </c>
      <c r="I30" s="18" t="s">
        <v>138</v>
      </c>
      <c r="J30" s="20" t="s">
        <v>11</v>
      </c>
      <c r="K30" s="21" t="n">
        <f aca="false">IFERROR(INDEX('Action Tracker'!$F$5:$F$15,MATCH(I30,'Action Tracker'!$A$5:$A$15,0)),"")</f>
        <v>46429</v>
      </c>
      <c r="L30" s="22"/>
      <c r="M30" s="22"/>
    </row>
    <row r="31" customFormat="false" ht="15" hidden="false" customHeight="false" outlineLevel="0" collapsed="false">
      <c r="A31" s="18" t="s">
        <v>149</v>
      </c>
      <c r="B31" s="19" t="s">
        <v>87</v>
      </c>
      <c r="C31" s="19" t="s">
        <v>19</v>
      </c>
      <c r="D31" s="19" t="s">
        <v>150</v>
      </c>
      <c r="E31" s="18" t="s">
        <v>10</v>
      </c>
      <c r="F31" s="18" t="s">
        <v>41</v>
      </c>
      <c r="G31" s="19" t="s">
        <v>137</v>
      </c>
      <c r="H31" s="19" t="s">
        <v>89</v>
      </c>
      <c r="I31" s="18" t="s">
        <v>138</v>
      </c>
      <c r="J31" s="20" t="s">
        <v>11</v>
      </c>
      <c r="K31" s="21" t="n">
        <f aca="false">IFERROR(INDEX('Action Tracker'!$F$5:$F$15,MATCH(I31,'Action Tracker'!$A$5:$A$15,0)),"")</f>
        <v>46429</v>
      </c>
      <c r="L31" s="22"/>
      <c r="M31" s="22"/>
    </row>
    <row r="32" customFormat="false" ht="23.85" hidden="false" customHeight="false" outlineLevel="0" collapsed="false">
      <c r="A32" s="18" t="s">
        <v>151</v>
      </c>
      <c r="B32" s="19" t="s">
        <v>152</v>
      </c>
      <c r="C32" s="19" t="s">
        <v>19</v>
      </c>
      <c r="D32" s="19" t="s">
        <v>153</v>
      </c>
      <c r="E32" s="18" t="s">
        <v>10</v>
      </c>
      <c r="F32" s="18" t="s">
        <v>40</v>
      </c>
      <c r="G32" s="19" t="s">
        <v>137</v>
      </c>
      <c r="H32" s="19" t="s">
        <v>154</v>
      </c>
      <c r="I32" s="18" t="s">
        <v>138</v>
      </c>
      <c r="J32" s="20" t="s">
        <v>11</v>
      </c>
      <c r="K32" s="21" t="n">
        <f aca="false">IFERROR(INDEX('Action Tracker'!$F$5:$F$15,MATCH(I32,'Action Tracker'!$A$5:$A$15,0)),"")</f>
        <v>46429</v>
      </c>
      <c r="L32" s="22"/>
      <c r="M32" s="22"/>
    </row>
    <row r="33" customFormat="false" ht="23.85" hidden="false" customHeight="false" outlineLevel="0" collapsed="false">
      <c r="A33" s="18" t="s">
        <v>155</v>
      </c>
      <c r="B33" s="19" t="s">
        <v>120</v>
      </c>
      <c r="C33" s="19" t="s">
        <v>19</v>
      </c>
      <c r="D33" s="19" t="s">
        <v>156</v>
      </c>
      <c r="E33" s="18" t="s">
        <v>10</v>
      </c>
      <c r="F33" s="18" t="s">
        <v>41</v>
      </c>
      <c r="G33" s="19" t="s">
        <v>137</v>
      </c>
      <c r="H33" s="19" t="s">
        <v>122</v>
      </c>
      <c r="I33" s="18" t="s">
        <v>138</v>
      </c>
      <c r="J33" s="20" t="s">
        <v>11</v>
      </c>
      <c r="K33" s="21" t="n">
        <f aca="false">IFERROR(INDEX('Action Tracker'!$F$5:$F$15,MATCH(I33,'Action Tracker'!$A$5:$A$15,0)),"")</f>
        <v>46429</v>
      </c>
      <c r="L33" s="22"/>
      <c r="M33" s="22"/>
    </row>
    <row r="34" customFormat="false" ht="23.85" hidden="false" customHeight="false" outlineLevel="0" collapsed="false">
      <c r="A34" s="18" t="s">
        <v>157</v>
      </c>
      <c r="B34" s="19" t="s">
        <v>132</v>
      </c>
      <c r="C34" s="19" t="s">
        <v>19</v>
      </c>
      <c r="D34" s="19" t="s">
        <v>158</v>
      </c>
      <c r="E34" s="18" t="s">
        <v>10</v>
      </c>
      <c r="F34" s="18" t="s">
        <v>41</v>
      </c>
      <c r="G34" s="19" t="s">
        <v>137</v>
      </c>
      <c r="H34" s="19" t="s">
        <v>134</v>
      </c>
      <c r="I34" s="18" t="s">
        <v>138</v>
      </c>
      <c r="J34" s="20" t="s">
        <v>11</v>
      </c>
      <c r="K34" s="21" t="n">
        <f aca="false">IFERROR(INDEX('Action Tracker'!$F$5:$F$15,MATCH(I34,'Action Tracker'!$A$5:$A$15,0)),"")</f>
        <v>46429</v>
      </c>
      <c r="L34" s="22"/>
      <c r="M34" s="22"/>
    </row>
    <row r="35" customFormat="false" ht="23.85" hidden="false" customHeight="false" outlineLevel="0" collapsed="false">
      <c r="A35" s="18" t="s">
        <v>159</v>
      </c>
      <c r="B35" s="19" t="s">
        <v>105</v>
      </c>
      <c r="C35" s="19" t="s">
        <v>19</v>
      </c>
      <c r="D35" s="19" t="s">
        <v>160</v>
      </c>
      <c r="E35" s="18" t="s">
        <v>10</v>
      </c>
      <c r="F35" s="18" t="s">
        <v>41</v>
      </c>
      <c r="G35" s="19" t="s">
        <v>137</v>
      </c>
      <c r="H35" s="19" t="s">
        <v>107</v>
      </c>
      <c r="I35" s="18" t="s">
        <v>138</v>
      </c>
      <c r="J35" s="20" t="s">
        <v>11</v>
      </c>
      <c r="K35" s="21" t="n">
        <f aca="false">IFERROR(INDEX('Action Tracker'!$F$5:$F$15,MATCH(I35,'Action Tracker'!$A$5:$A$15,0)),"")</f>
        <v>46429</v>
      </c>
      <c r="L35" s="22"/>
      <c r="M35" s="22"/>
    </row>
    <row r="36" customFormat="false" ht="23.85" hidden="false" customHeight="false" outlineLevel="0" collapsed="false">
      <c r="A36" s="18" t="s">
        <v>161</v>
      </c>
      <c r="B36" s="19" t="s">
        <v>126</v>
      </c>
      <c r="C36" s="19" t="s">
        <v>19</v>
      </c>
      <c r="D36" s="19" t="s">
        <v>162</v>
      </c>
      <c r="E36" s="18" t="s">
        <v>10</v>
      </c>
      <c r="F36" s="18" t="s">
        <v>41</v>
      </c>
      <c r="G36" s="19" t="s">
        <v>137</v>
      </c>
      <c r="H36" s="19" t="s">
        <v>128</v>
      </c>
      <c r="I36" s="18" t="s">
        <v>138</v>
      </c>
      <c r="J36" s="20" t="s">
        <v>11</v>
      </c>
      <c r="K36" s="21" t="n">
        <f aca="false">IFERROR(INDEX('Action Tracker'!$F$5:$F$15,MATCH(I36,'Action Tracker'!$A$5:$A$15,0)),"")</f>
        <v>46429</v>
      </c>
      <c r="L36" s="22"/>
      <c r="M36" s="22"/>
    </row>
    <row r="37" customFormat="false" ht="15" hidden="false" customHeight="false" outlineLevel="0" collapsed="false">
      <c r="A37" s="18" t="s">
        <v>163</v>
      </c>
      <c r="B37" s="19" t="s">
        <v>164</v>
      </c>
      <c r="C37" s="19" t="s">
        <v>19</v>
      </c>
      <c r="D37" s="19" t="s">
        <v>165</v>
      </c>
      <c r="E37" s="18" t="s">
        <v>10</v>
      </c>
      <c r="F37" s="18" t="s">
        <v>41</v>
      </c>
      <c r="G37" s="19" t="s">
        <v>137</v>
      </c>
      <c r="H37" s="19" t="s">
        <v>166</v>
      </c>
      <c r="I37" s="18" t="s">
        <v>138</v>
      </c>
      <c r="J37" s="20" t="s">
        <v>11</v>
      </c>
      <c r="K37" s="21" t="n">
        <f aca="false">IFERROR(INDEX('Action Tracker'!$F$5:$F$15,MATCH(I37,'Action Tracker'!$A$5:$A$15,0)),"")</f>
        <v>46429</v>
      </c>
      <c r="L37" s="22"/>
      <c r="M37" s="22"/>
    </row>
    <row r="38" customFormat="false" ht="23.85" hidden="false" customHeight="false" outlineLevel="0" collapsed="false">
      <c r="A38" s="18" t="s">
        <v>167</v>
      </c>
      <c r="B38" s="19" t="s">
        <v>69</v>
      </c>
      <c r="C38" s="19" t="s">
        <v>20</v>
      </c>
      <c r="D38" s="19" t="s">
        <v>168</v>
      </c>
      <c r="E38" s="18" t="s">
        <v>9</v>
      </c>
      <c r="F38" s="18" t="s">
        <v>39</v>
      </c>
      <c r="G38" s="19" t="s">
        <v>169</v>
      </c>
      <c r="H38" s="19" t="s">
        <v>72</v>
      </c>
      <c r="I38" s="18" t="s">
        <v>170</v>
      </c>
      <c r="J38" s="20" t="s">
        <v>11</v>
      </c>
      <c r="K38" s="21" t="n">
        <f aca="false">IFERROR(INDEX('Action Tracker'!$F$5:$F$15,MATCH(I38,'Action Tracker'!$A$5:$A$15,0)),"")</f>
        <v>46429</v>
      </c>
      <c r="L38" s="22"/>
      <c r="M38" s="22"/>
    </row>
    <row r="39" customFormat="false" ht="15" hidden="false" customHeight="false" outlineLevel="0" collapsed="false">
      <c r="A39" s="18" t="s">
        <v>171</v>
      </c>
      <c r="B39" s="19" t="s">
        <v>75</v>
      </c>
      <c r="C39" s="19" t="s">
        <v>20</v>
      </c>
      <c r="D39" s="19" t="s">
        <v>172</v>
      </c>
      <c r="E39" s="18" t="s">
        <v>9</v>
      </c>
      <c r="F39" s="18" t="s">
        <v>39</v>
      </c>
      <c r="G39" s="19" t="s">
        <v>169</v>
      </c>
      <c r="H39" s="19" t="s">
        <v>77</v>
      </c>
      <c r="I39" s="18" t="s">
        <v>170</v>
      </c>
      <c r="J39" s="20" t="s">
        <v>11</v>
      </c>
      <c r="K39" s="21" t="n">
        <f aca="false">IFERROR(INDEX('Action Tracker'!$F$5:$F$15,MATCH(I39,'Action Tracker'!$A$5:$A$15,0)),"")</f>
        <v>46429</v>
      </c>
      <c r="L39" s="22"/>
      <c r="M39" s="22"/>
    </row>
    <row r="40" customFormat="false" ht="23.85" hidden="false" customHeight="false" outlineLevel="0" collapsed="false">
      <c r="A40" s="18" t="s">
        <v>173</v>
      </c>
      <c r="B40" s="19" t="s">
        <v>97</v>
      </c>
      <c r="C40" s="19" t="s">
        <v>20</v>
      </c>
      <c r="D40" s="19" t="s">
        <v>174</v>
      </c>
      <c r="E40" s="18" t="s">
        <v>9</v>
      </c>
      <c r="F40" s="18" t="s">
        <v>39</v>
      </c>
      <c r="G40" s="19" t="s">
        <v>169</v>
      </c>
      <c r="H40" s="19" t="s">
        <v>99</v>
      </c>
      <c r="I40" s="18" t="s">
        <v>170</v>
      </c>
      <c r="J40" s="20" t="s">
        <v>11</v>
      </c>
      <c r="K40" s="21" t="n">
        <f aca="false">IFERROR(INDEX('Action Tracker'!$F$5:$F$15,MATCH(I40,'Action Tracker'!$A$5:$A$15,0)),"")</f>
        <v>46429</v>
      </c>
      <c r="L40" s="22"/>
      <c r="M40" s="22"/>
    </row>
    <row r="41" customFormat="false" ht="23.85" hidden="false" customHeight="false" outlineLevel="0" collapsed="false">
      <c r="A41" s="18" t="s">
        <v>175</v>
      </c>
      <c r="B41" s="19" t="s">
        <v>83</v>
      </c>
      <c r="C41" s="19" t="s">
        <v>20</v>
      </c>
      <c r="D41" s="19" t="s">
        <v>176</v>
      </c>
      <c r="E41" s="18" t="s">
        <v>9</v>
      </c>
      <c r="F41" s="18" t="s">
        <v>39</v>
      </c>
      <c r="G41" s="19" t="s">
        <v>169</v>
      </c>
      <c r="H41" s="19" t="s">
        <v>85</v>
      </c>
      <c r="I41" s="18" t="s">
        <v>170</v>
      </c>
      <c r="J41" s="20" t="s">
        <v>11</v>
      </c>
      <c r="K41" s="21" t="n">
        <f aca="false">IFERROR(INDEX('Action Tracker'!$F$5:$F$15,MATCH(I41,'Action Tracker'!$A$5:$A$15,0)),"")</f>
        <v>46429</v>
      </c>
      <c r="L41" s="22"/>
      <c r="M41" s="22"/>
    </row>
    <row r="42" customFormat="false" ht="23.85" hidden="false" customHeight="false" outlineLevel="0" collapsed="false">
      <c r="A42" s="18" t="s">
        <v>177</v>
      </c>
      <c r="B42" s="19" t="s">
        <v>101</v>
      </c>
      <c r="C42" s="19" t="s">
        <v>20</v>
      </c>
      <c r="D42" s="19" t="s">
        <v>178</v>
      </c>
      <c r="E42" s="18" t="s">
        <v>9</v>
      </c>
      <c r="F42" s="18" t="s">
        <v>40</v>
      </c>
      <c r="G42" s="19" t="s">
        <v>169</v>
      </c>
      <c r="H42" s="19" t="s">
        <v>103</v>
      </c>
      <c r="I42" s="18" t="s">
        <v>170</v>
      </c>
      <c r="J42" s="20" t="s">
        <v>11</v>
      </c>
      <c r="K42" s="21" t="n">
        <f aca="false">IFERROR(INDEX('Action Tracker'!$F$5:$F$15,MATCH(I42,'Action Tracker'!$A$5:$A$15,0)),"")</f>
        <v>46429</v>
      </c>
      <c r="L42" s="22"/>
      <c r="M42" s="22"/>
    </row>
    <row r="43" customFormat="false" ht="23.85" hidden="false" customHeight="false" outlineLevel="0" collapsed="false">
      <c r="A43" s="18" t="s">
        <v>179</v>
      </c>
      <c r="B43" s="19" t="s">
        <v>152</v>
      </c>
      <c r="C43" s="19" t="s">
        <v>20</v>
      </c>
      <c r="D43" s="19" t="s">
        <v>180</v>
      </c>
      <c r="E43" s="18" t="s">
        <v>10</v>
      </c>
      <c r="F43" s="18" t="s">
        <v>40</v>
      </c>
      <c r="G43" s="19" t="s">
        <v>169</v>
      </c>
      <c r="H43" s="19" t="s">
        <v>154</v>
      </c>
      <c r="I43" s="18" t="s">
        <v>170</v>
      </c>
      <c r="J43" s="20" t="s">
        <v>11</v>
      </c>
      <c r="K43" s="21" t="n">
        <f aca="false">IFERROR(INDEX('Action Tracker'!$F$5:$F$15,MATCH(I43,'Action Tracker'!$A$5:$A$15,0)),"")</f>
        <v>46429</v>
      </c>
      <c r="L43" s="22"/>
      <c r="M43" s="22"/>
    </row>
    <row r="44" customFormat="false" ht="23.85" hidden="false" customHeight="false" outlineLevel="0" collapsed="false">
      <c r="A44" s="18" t="s">
        <v>181</v>
      </c>
      <c r="B44" s="19" t="s">
        <v>105</v>
      </c>
      <c r="C44" s="19" t="s">
        <v>20</v>
      </c>
      <c r="D44" s="19" t="s">
        <v>182</v>
      </c>
      <c r="E44" s="18" t="s">
        <v>10</v>
      </c>
      <c r="F44" s="18" t="s">
        <v>40</v>
      </c>
      <c r="G44" s="19" t="s">
        <v>169</v>
      </c>
      <c r="H44" s="19" t="s">
        <v>107</v>
      </c>
      <c r="I44" s="18" t="s">
        <v>170</v>
      </c>
      <c r="J44" s="20" t="s">
        <v>11</v>
      </c>
      <c r="K44" s="21" t="n">
        <f aca="false">IFERROR(INDEX('Action Tracker'!$F$5:$F$15,MATCH(I44,'Action Tracker'!$A$5:$A$15,0)),"")</f>
        <v>46429</v>
      </c>
      <c r="L44" s="22"/>
      <c r="M44" s="22"/>
    </row>
    <row r="45" customFormat="false" ht="23.85" hidden="false" customHeight="false" outlineLevel="0" collapsed="false">
      <c r="A45" s="18" t="s">
        <v>183</v>
      </c>
      <c r="B45" s="19" t="s">
        <v>69</v>
      </c>
      <c r="C45" s="19" t="s">
        <v>22</v>
      </c>
      <c r="D45" s="19" t="s">
        <v>184</v>
      </c>
      <c r="E45" s="18" t="s">
        <v>9</v>
      </c>
      <c r="F45" s="18" t="s">
        <v>39</v>
      </c>
      <c r="G45" s="19" t="s">
        <v>185</v>
      </c>
      <c r="H45" s="19" t="s">
        <v>72</v>
      </c>
      <c r="I45" s="18" t="s">
        <v>186</v>
      </c>
      <c r="J45" s="20" t="s">
        <v>11</v>
      </c>
      <c r="K45" s="21" t="n">
        <f aca="false">IFERROR(INDEX('Action Tracker'!$F$5:$F$15,MATCH(I45,'Action Tracker'!$A$5:$A$15,0)),"")</f>
        <v>46429</v>
      </c>
      <c r="L45" s="22"/>
      <c r="M45" s="22"/>
    </row>
    <row r="46" customFormat="false" ht="23.85" hidden="false" customHeight="false" outlineLevel="0" collapsed="false">
      <c r="A46" s="18" t="s">
        <v>187</v>
      </c>
      <c r="B46" s="19" t="s">
        <v>152</v>
      </c>
      <c r="C46" s="19" t="s">
        <v>22</v>
      </c>
      <c r="D46" s="19" t="s">
        <v>188</v>
      </c>
      <c r="E46" s="18" t="s">
        <v>9</v>
      </c>
      <c r="F46" s="18" t="s">
        <v>39</v>
      </c>
      <c r="G46" s="19" t="s">
        <v>185</v>
      </c>
      <c r="H46" s="19" t="s">
        <v>154</v>
      </c>
      <c r="I46" s="18" t="s">
        <v>186</v>
      </c>
      <c r="J46" s="20" t="s">
        <v>11</v>
      </c>
      <c r="K46" s="21" t="n">
        <f aca="false">IFERROR(INDEX('Action Tracker'!$F$5:$F$15,MATCH(I46,'Action Tracker'!$A$5:$A$15,0)),"")</f>
        <v>46429</v>
      </c>
      <c r="L46" s="22"/>
      <c r="M46" s="22"/>
    </row>
    <row r="47" customFormat="false" ht="15" hidden="false" customHeight="false" outlineLevel="0" collapsed="false">
      <c r="A47" s="18" t="s">
        <v>189</v>
      </c>
      <c r="B47" s="19" t="s">
        <v>75</v>
      </c>
      <c r="C47" s="19" t="s">
        <v>22</v>
      </c>
      <c r="D47" s="19" t="s">
        <v>190</v>
      </c>
      <c r="E47" s="18" t="s">
        <v>10</v>
      </c>
      <c r="F47" s="18" t="s">
        <v>40</v>
      </c>
      <c r="G47" s="19" t="s">
        <v>185</v>
      </c>
      <c r="H47" s="19" t="s">
        <v>77</v>
      </c>
      <c r="I47" s="18" t="s">
        <v>186</v>
      </c>
      <c r="J47" s="20" t="s">
        <v>11</v>
      </c>
      <c r="K47" s="21" t="n">
        <f aca="false">IFERROR(INDEX('Action Tracker'!$F$5:$F$15,MATCH(I47,'Action Tracker'!$A$5:$A$15,0)),"")</f>
        <v>46429</v>
      </c>
      <c r="L47" s="22"/>
      <c r="M47" s="22"/>
    </row>
    <row r="48" customFormat="false" ht="23.85" hidden="false" customHeight="false" outlineLevel="0" collapsed="false">
      <c r="A48" s="18" t="s">
        <v>191</v>
      </c>
      <c r="B48" s="19" t="s">
        <v>105</v>
      </c>
      <c r="C48" s="19" t="s">
        <v>22</v>
      </c>
      <c r="D48" s="19" t="s">
        <v>192</v>
      </c>
      <c r="E48" s="18" t="s">
        <v>10</v>
      </c>
      <c r="F48" s="18" t="s">
        <v>41</v>
      </c>
      <c r="G48" s="19" t="s">
        <v>185</v>
      </c>
      <c r="H48" s="19" t="s">
        <v>107</v>
      </c>
      <c r="I48" s="18" t="s">
        <v>186</v>
      </c>
      <c r="J48" s="20" t="s">
        <v>11</v>
      </c>
      <c r="K48" s="21" t="n">
        <f aca="false">IFERROR(INDEX('Action Tracker'!$F$5:$F$15,MATCH(I48,'Action Tracker'!$A$5:$A$15,0)),"")</f>
        <v>46429</v>
      </c>
      <c r="L48" s="22"/>
      <c r="M48" s="22"/>
    </row>
    <row r="49" customFormat="false" ht="15" hidden="false" customHeight="false" outlineLevel="0" collapsed="false">
      <c r="A49" s="18" t="s">
        <v>193</v>
      </c>
      <c r="B49" s="19" t="s">
        <v>97</v>
      </c>
      <c r="C49" s="19" t="s">
        <v>23</v>
      </c>
      <c r="D49" s="19" t="s">
        <v>194</v>
      </c>
      <c r="E49" s="18" t="s">
        <v>10</v>
      </c>
      <c r="F49" s="18" t="s">
        <v>40</v>
      </c>
      <c r="G49" s="19" t="s">
        <v>195</v>
      </c>
      <c r="H49" s="19" t="s">
        <v>99</v>
      </c>
      <c r="I49" s="18" t="s">
        <v>196</v>
      </c>
      <c r="J49" s="20" t="s">
        <v>11</v>
      </c>
      <c r="K49" s="21" t="n">
        <f aca="false">IFERROR(INDEX('Action Tracker'!$F$5:$F$15,MATCH(I49,'Action Tracker'!$A$5:$A$15,0)),"")</f>
        <v>46519</v>
      </c>
      <c r="L49" s="22"/>
      <c r="M49" s="22"/>
    </row>
    <row r="50" customFormat="false" ht="15" hidden="false" customHeight="false" outlineLevel="0" collapsed="false">
      <c r="A50" s="18" t="s">
        <v>197</v>
      </c>
      <c r="B50" s="19" t="s">
        <v>83</v>
      </c>
      <c r="C50" s="19" t="s">
        <v>23</v>
      </c>
      <c r="D50" s="19" t="s">
        <v>198</v>
      </c>
      <c r="E50" s="18" t="s">
        <v>10</v>
      </c>
      <c r="F50" s="18" t="s">
        <v>40</v>
      </c>
      <c r="G50" s="19" t="s">
        <v>195</v>
      </c>
      <c r="H50" s="19" t="s">
        <v>85</v>
      </c>
      <c r="I50" s="18" t="s">
        <v>196</v>
      </c>
      <c r="J50" s="20" t="s">
        <v>11</v>
      </c>
      <c r="K50" s="21" t="n">
        <f aca="false">IFERROR(INDEX('Action Tracker'!$F$5:$F$15,MATCH(I50,'Action Tracker'!$A$5:$A$15,0)),"")</f>
        <v>46519</v>
      </c>
      <c r="L50" s="22"/>
      <c r="M50" s="22"/>
    </row>
    <row r="51" customFormat="false" ht="23.85" hidden="false" customHeight="false" outlineLevel="0" collapsed="false">
      <c r="A51" s="18" t="s">
        <v>199</v>
      </c>
      <c r="B51" s="19" t="s">
        <v>152</v>
      </c>
      <c r="C51" s="19" t="s">
        <v>23</v>
      </c>
      <c r="D51" s="19" t="s">
        <v>200</v>
      </c>
      <c r="E51" s="18" t="s">
        <v>10</v>
      </c>
      <c r="F51" s="18" t="s">
        <v>40</v>
      </c>
      <c r="G51" s="19" t="s">
        <v>195</v>
      </c>
      <c r="H51" s="19" t="s">
        <v>154</v>
      </c>
      <c r="I51" s="18" t="s">
        <v>196</v>
      </c>
      <c r="J51" s="20" t="s">
        <v>11</v>
      </c>
      <c r="K51" s="21" t="n">
        <f aca="false">IFERROR(INDEX('Action Tracker'!$F$5:$F$15,MATCH(I51,'Action Tracker'!$A$5:$A$15,0)),"")</f>
        <v>46519</v>
      </c>
      <c r="L51" s="22"/>
      <c r="M51" s="22"/>
    </row>
    <row r="52" customFormat="false" ht="23.85" hidden="false" customHeight="false" outlineLevel="0" collapsed="false">
      <c r="A52" s="18" t="s">
        <v>201</v>
      </c>
      <c r="B52" s="19" t="s">
        <v>120</v>
      </c>
      <c r="C52" s="19" t="s">
        <v>23</v>
      </c>
      <c r="D52" s="19" t="s">
        <v>202</v>
      </c>
      <c r="E52" s="18" t="s">
        <v>10</v>
      </c>
      <c r="F52" s="18" t="s">
        <v>40</v>
      </c>
      <c r="G52" s="19" t="s">
        <v>195</v>
      </c>
      <c r="H52" s="19" t="s">
        <v>122</v>
      </c>
      <c r="I52" s="18" t="s">
        <v>196</v>
      </c>
      <c r="J52" s="20" t="s">
        <v>11</v>
      </c>
      <c r="K52" s="21" t="n">
        <f aca="false">IFERROR(INDEX('Action Tracker'!$F$5:$F$15,MATCH(I52,'Action Tracker'!$A$5:$A$15,0)),"")</f>
        <v>46519</v>
      </c>
      <c r="L52" s="22"/>
      <c r="M52" s="22"/>
    </row>
    <row r="53" customFormat="false" ht="23.85" hidden="false" customHeight="false" outlineLevel="0" collapsed="false">
      <c r="A53" s="18" t="s">
        <v>203</v>
      </c>
      <c r="B53" s="19" t="s">
        <v>126</v>
      </c>
      <c r="C53" s="19" t="s">
        <v>23</v>
      </c>
      <c r="D53" s="19" t="s">
        <v>204</v>
      </c>
      <c r="E53" s="18" t="s">
        <v>10</v>
      </c>
      <c r="F53" s="18" t="s">
        <v>40</v>
      </c>
      <c r="G53" s="19" t="s">
        <v>195</v>
      </c>
      <c r="H53" s="19" t="s">
        <v>128</v>
      </c>
      <c r="I53" s="18" t="s">
        <v>196</v>
      </c>
      <c r="J53" s="20" t="s">
        <v>11</v>
      </c>
      <c r="K53" s="21" t="n">
        <f aca="false">IFERROR(INDEX('Action Tracker'!$F$5:$F$15,MATCH(I53,'Action Tracker'!$A$5:$A$15,0)),"")</f>
        <v>46519</v>
      </c>
      <c r="L53" s="22"/>
      <c r="M53" s="22"/>
    </row>
    <row r="54" customFormat="false" ht="23.85" hidden="false" customHeight="false" outlineLevel="0" collapsed="false">
      <c r="A54" s="18" t="s">
        <v>205</v>
      </c>
      <c r="B54" s="19" t="s">
        <v>69</v>
      </c>
      <c r="C54" s="19" t="s">
        <v>27</v>
      </c>
      <c r="D54" s="19" t="s">
        <v>206</v>
      </c>
      <c r="E54" s="18" t="s">
        <v>9</v>
      </c>
      <c r="F54" s="18" t="s">
        <v>38</v>
      </c>
      <c r="G54" s="19" t="s">
        <v>207</v>
      </c>
      <c r="H54" s="19" t="s">
        <v>72</v>
      </c>
      <c r="I54" s="18" t="s">
        <v>208</v>
      </c>
      <c r="J54" s="20" t="s">
        <v>11</v>
      </c>
      <c r="K54" s="21" t="n">
        <f aca="false">IFERROR(INDEX('Action Tracker'!$F$5:$F$15,MATCH(I54,'Action Tracker'!$A$5:$A$15,0)),"")</f>
        <v>46429</v>
      </c>
      <c r="L54" s="22"/>
      <c r="M54" s="22"/>
    </row>
    <row r="55" customFormat="false" ht="23.85" hidden="false" customHeight="false" outlineLevel="0" collapsed="false">
      <c r="A55" s="18" t="s">
        <v>209</v>
      </c>
      <c r="B55" s="19" t="s">
        <v>69</v>
      </c>
      <c r="C55" s="19" t="s">
        <v>33</v>
      </c>
      <c r="D55" s="19" t="s">
        <v>210</v>
      </c>
      <c r="E55" s="18" t="s">
        <v>9</v>
      </c>
      <c r="F55" s="18" t="s">
        <v>40</v>
      </c>
      <c r="G55" s="19" t="s">
        <v>211</v>
      </c>
      <c r="H55" s="19" t="s">
        <v>72</v>
      </c>
      <c r="I55" s="18" t="s">
        <v>73</v>
      </c>
      <c r="J55" s="20" t="s">
        <v>11</v>
      </c>
      <c r="K55" s="21" t="n">
        <f aca="false">IFERROR(INDEX('Action Tracker'!$F$5:$F$15,MATCH(I55,'Action Tracker'!$A$5:$A$15,0)),"")</f>
        <v>46339</v>
      </c>
      <c r="L55" s="22"/>
      <c r="M55" s="22"/>
    </row>
    <row r="56" customFormat="false" ht="23.85" hidden="false" customHeight="false" outlineLevel="0" collapsed="false">
      <c r="A56" s="18" t="s">
        <v>212</v>
      </c>
      <c r="B56" s="19" t="s">
        <v>132</v>
      </c>
      <c r="C56" s="19" t="s">
        <v>25</v>
      </c>
      <c r="D56" s="19" t="s">
        <v>213</v>
      </c>
      <c r="E56" s="18" t="s">
        <v>9</v>
      </c>
      <c r="F56" s="18" t="s">
        <v>40</v>
      </c>
      <c r="G56" s="19" t="s">
        <v>214</v>
      </c>
      <c r="H56" s="19" t="s">
        <v>134</v>
      </c>
      <c r="I56" s="18" t="s">
        <v>215</v>
      </c>
      <c r="J56" s="20" t="s">
        <v>11</v>
      </c>
      <c r="K56" s="21" t="n">
        <f aca="false">IFERROR(INDEX('Action Tracker'!$F$5:$F$15,MATCH(I56,'Action Tracker'!$A$5:$A$15,0)),"")</f>
        <v>46339</v>
      </c>
      <c r="L56" s="22"/>
      <c r="M56" s="22"/>
    </row>
    <row r="57" customFormat="false" ht="23.85" hidden="false" customHeight="false" outlineLevel="0" collapsed="false">
      <c r="A57" s="18" t="s">
        <v>216</v>
      </c>
      <c r="B57" s="19" t="s">
        <v>105</v>
      </c>
      <c r="C57" s="19" t="s">
        <v>25</v>
      </c>
      <c r="D57" s="19" t="s">
        <v>217</v>
      </c>
      <c r="E57" s="18" t="s">
        <v>9</v>
      </c>
      <c r="F57" s="18" t="s">
        <v>39</v>
      </c>
      <c r="G57" s="19" t="s">
        <v>214</v>
      </c>
      <c r="H57" s="19" t="s">
        <v>107</v>
      </c>
      <c r="I57" s="18" t="s">
        <v>215</v>
      </c>
      <c r="J57" s="20" t="s">
        <v>11</v>
      </c>
      <c r="K57" s="21" t="n">
        <f aca="false">IFERROR(INDEX('Action Tracker'!$F$5:$F$15,MATCH(I57,'Action Tracker'!$A$5:$A$15,0)),"")</f>
        <v>46339</v>
      </c>
      <c r="L57" s="22"/>
      <c r="M57" s="22"/>
    </row>
    <row r="58" customFormat="false" ht="23.85" hidden="false" customHeight="false" outlineLevel="0" collapsed="false">
      <c r="A58" s="18" t="s">
        <v>218</v>
      </c>
      <c r="B58" s="19" t="s">
        <v>79</v>
      </c>
      <c r="C58" s="19" t="s">
        <v>25</v>
      </c>
      <c r="D58" s="19" t="s">
        <v>219</v>
      </c>
      <c r="E58" s="18" t="s">
        <v>9</v>
      </c>
      <c r="F58" s="18" t="s">
        <v>39</v>
      </c>
      <c r="G58" s="19" t="s">
        <v>214</v>
      </c>
      <c r="H58" s="19" t="s">
        <v>81</v>
      </c>
      <c r="I58" s="18" t="s">
        <v>215</v>
      </c>
      <c r="J58" s="20" t="s">
        <v>11</v>
      </c>
      <c r="K58" s="21" t="n">
        <f aca="false">IFERROR(INDEX('Action Tracker'!$F$5:$F$15,MATCH(I58,'Action Tracker'!$A$5:$A$15,0)),"")</f>
        <v>46339</v>
      </c>
      <c r="L58" s="22"/>
      <c r="M58" s="22"/>
    </row>
    <row r="59" customFormat="false" ht="23.85" hidden="false" customHeight="false" outlineLevel="0" collapsed="false">
      <c r="A59" s="18" t="s">
        <v>220</v>
      </c>
      <c r="B59" s="19" t="s">
        <v>120</v>
      </c>
      <c r="C59" s="19" t="s">
        <v>25</v>
      </c>
      <c r="D59" s="19" t="s">
        <v>221</v>
      </c>
      <c r="E59" s="18" t="s">
        <v>9</v>
      </c>
      <c r="F59" s="18" t="s">
        <v>39</v>
      </c>
      <c r="G59" s="19" t="s">
        <v>214</v>
      </c>
      <c r="H59" s="19" t="s">
        <v>122</v>
      </c>
      <c r="I59" s="18" t="s">
        <v>215</v>
      </c>
      <c r="J59" s="20" t="s">
        <v>11</v>
      </c>
      <c r="K59" s="21" t="n">
        <f aca="false">IFERROR(INDEX('Action Tracker'!$F$5:$F$15,MATCH(I59,'Action Tracker'!$A$5:$A$15,0)),"")</f>
        <v>46339</v>
      </c>
      <c r="L59" s="22"/>
      <c r="M59" s="22"/>
    </row>
    <row r="60" customFormat="false" ht="23.85" hidden="false" customHeight="false" outlineLevel="0" collapsed="false">
      <c r="A60" s="18" t="s">
        <v>222</v>
      </c>
      <c r="B60" s="19" t="s">
        <v>83</v>
      </c>
      <c r="C60" s="19" t="s">
        <v>25</v>
      </c>
      <c r="D60" s="19" t="s">
        <v>223</v>
      </c>
      <c r="E60" s="18" t="s">
        <v>9</v>
      </c>
      <c r="F60" s="18" t="s">
        <v>40</v>
      </c>
      <c r="G60" s="19" t="s">
        <v>214</v>
      </c>
      <c r="H60" s="19" t="s">
        <v>85</v>
      </c>
      <c r="I60" s="18" t="s">
        <v>215</v>
      </c>
      <c r="J60" s="20" t="s">
        <v>11</v>
      </c>
      <c r="K60" s="21" t="n">
        <f aca="false">IFERROR(INDEX('Action Tracker'!$F$5:$F$15,MATCH(I60,'Action Tracker'!$A$5:$A$15,0)),"")</f>
        <v>46339</v>
      </c>
      <c r="L60" s="22"/>
      <c r="M60" s="22"/>
    </row>
    <row r="61" customFormat="false" ht="15" hidden="false" customHeight="false" outlineLevel="0" collapsed="false">
      <c r="A61" s="18" t="s">
        <v>224</v>
      </c>
      <c r="B61" s="19" t="s">
        <v>101</v>
      </c>
      <c r="C61" s="19" t="s">
        <v>29</v>
      </c>
      <c r="D61" s="19" t="s">
        <v>225</v>
      </c>
      <c r="E61" s="18" t="s">
        <v>9</v>
      </c>
      <c r="F61" s="18" t="s">
        <v>39</v>
      </c>
      <c r="G61" s="19" t="s">
        <v>214</v>
      </c>
      <c r="H61" s="19" t="s">
        <v>103</v>
      </c>
      <c r="I61" s="18" t="s">
        <v>226</v>
      </c>
      <c r="J61" s="20" t="s">
        <v>11</v>
      </c>
      <c r="K61" s="21" t="n">
        <f aca="false">IFERROR(INDEX('Action Tracker'!$F$5:$F$15,MATCH(I61,'Action Tracker'!$A$5:$A$15,0)),"")</f>
        <v>46339</v>
      </c>
      <c r="L61" s="22"/>
      <c r="M61" s="22"/>
    </row>
    <row r="62" customFormat="false" ht="23.85" hidden="false" customHeight="false" outlineLevel="0" collapsed="false">
      <c r="A62" s="18" t="s">
        <v>227</v>
      </c>
      <c r="B62" s="19" t="s">
        <v>126</v>
      </c>
      <c r="C62" s="19" t="s">
        <v>31</v>
      </c>
      <c r="D62" s="19" t="s">
        <v>228</v>
      </c>
      <c r="E62" s="18" t="s">
        <v>10</v>
      </c>
      <c r="F62" s="18" t="s">
        <v>40</v>
      </c>
      <c r="G62" s="19" t="s">
        <v>229</v>
      </c>
      <c r="H62" s="19" t="s">
        <v>128</v>
      </c>
      <c r="I62" s="18" t="s">
        <v>230</v>
      </c>
      <c r="J62" s="20" t="s">
        <v>11</v>
      </c>
      <c r="K62" s="21" t="n">
        <f aca="false">IFERROR(INDEX('Action Tracker'!$F$5:$F$15,MATCH(I62,'Action Tracker'!$A$5:$A$15,0)),"")</f>
        <v>46519</v>
      </c>
      <c r="L62" s="22"/>
      <c r="M62" s="22"/>
    </row>
  </sheetData>
  <autoFilter ref="A4:M62"/>
  <conditionalFormatting sqref="F5:F122">
    <cfRule type="cellIs" priority="2" operator="equal" aboveAverage="0" equalAverage="0" bottom="0" percent="0" rank="0" text="" dxfId="9">
      <formula>"Critical"</formula>
    </cfRule>
    <cfRule type="cellIs" priority="3" operator="equal" aboveAverage="0" equalAverage="0" bottom="0" percent="0" rank="0" text="" dxfId="10">
      <formula>"High"</formula>
    </cfRule>
    <cfRule type="cellIs" priority="4" operator="equal" aboveAverage="0" equalAverage="0" bottom="0" percent="0" rank="0" text="" dxfId="11">
      <formula>"Medium"</formula>
    </cfRule>
    <cfRule type="cellIs" priority="5" operator="equal" aboveAverage="0" equalAverage="0" bottom="0" percent="0" rank="0" text="" dxfId="12">
      <formula>"Low"</formula>
    </cfRule>
  </conditionalFormatting>
  <conditionalFormatting sqref="J5:J122">
    <cfRule type="cellIs" priority="6" operator="equal" aboveAverage="0" equalAverage="0" bottom="0" percent="0" rank="0" text="" dxfId="13">
      <formula>"Closed"</formula>
    </cfRule>
  </conditionalFormatting>
  <dataValidations count="4">
    <dataValidation allowBlank="true" errorStyle="stop" operator="between" showDropDown="false" showErrorMessage="false" showInputMessage="false" sqref="J5:J122" type="list">
      <formula1>Lists!$A$4:$A$7</formula1>
      <formula2>0</formula2>
    </dataValidation>
    <dataValidation allowBlank="true" errorStyle="stop" operator="between" showDropDown="false" showErrorMessage="false" showInputMessage="false" sqref="E5:E122" type="list">
      <formula1>Lists!$E$4:$E$5</formula1>
      <formula2>0</formula2>
    </dataValidation>
    <dataValidation allowBlank="true" errorStyle="stop" operator="between" showDropDown="false" showErrorMessage="false" showInputMessage="false" sqref="F5:F122" type="list">
      <formula1>Lists!$C$4:$C$7</formula1>
      <formula2>0</formula2>
    </dataValidation>
    <dataValidation allowBlank="true" errorStyle="stop" operator="between" showDropDown="false" showErrorMessage="false" showInputMessage="false" sqref="B5:B122" type="list">
      <formula1>Lists!$G$4:$G$16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7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58"/>
    <col collapsed="false" customWidth="true" hidden="false" outlineLevel="0" max="3" min="3" style="0" width="18"/>
    <col collapsed="false" customWidth="true" hidden="false" outlineLevel="0" max="4" min="4" style="0" width="12"/>
    <col collapsed="false" customWidth="true" hidden="false" outlineLevel="0" max="5" min="5" style="0" width="10"/>
    <col collapsed="false" customWidth="true" hidden="false" outlineLevel="0" max="6" min="6" style="0" width="13"/>
    <col collapsed="false" customWidth="true" hidden="false" outlineLevel="0" max="7" min="7" style="0" width="34"/>
    <col collapsed="false" customWidth="true" hidden="false" outlineLevel="0" max="9" min="8" style="0" width="10"/>
    <col collapsed="false" customWidth="true" hidden="false" outlineLevel="0" max="10" min="10" style="0" width="14"/>
    <col collapsed="false" customWidth="true" hidden="false" outlineLevel="0" max="11" min="11" style="0" width="11"/>
    <col collapsed="false" customWidth="true" hidden="false" outlineLevel="0" max="12" min="12" style="0" width="18"/>
    <col collapsed="false" customWidth="true" hidden="false" outlineLevel="0" max="14" min="13" style="0" width="30"/>
  </cols>
  <sheetData>
    <row r="1" customFormat="false" ht="17.35" hidden="false" customHeight="false" outlineLevel="0" collapsed="false">
      <c r="A1" s="16" t="s">
        <v>231</v>
      </c>
    </row>
    <row r="2" customFormat="false" ht="15" hidden="false" customHeight="false" outlineLevel="0" collapsed="false">
      <c r="A2" s="2" t="s">
        <v>232</v>
      </c>
    </row>
    <row r="4" customFormat="false" ht="31.5" hidden="false" customHeight="true" outlineLevel="0" collapsed="false">
      <c r="A4" s="17" t="s">
        <v>56</v>
      </c>
      <c r="B4" s="17" t="s">
        <v>233</v>
      </c>
      <c r="C4" s="17" t="s">
        <v>234</v>
      </c>
      <c r="D4" s="17" t="s">
        <v>235</v>
      </c>
      <c r="E4" s="17" t="s">
        <v>236</v>
      </c>
      <c r="F4" s="17" t="s">
        <v>237</v>
      </c>
      <c r="G4" s="17" t="s">
        <v>238</v>
      </c>
      <c r="H4" s="17" t="s">
        <v>239</v>
      </c>
      <c r="I4" s="17" t="s">
        <v>240</v>
      </c>
      <c r="J4" s="17" t="s">
        <v>64</v>
      </c>
      <c r="K4" s="17" t="s">
        <v>241</v>
      </c>
      <c r="L4" s="17" t="s">
        <v>66</v>
      </c>
      <c r="M4" s="17" t="s">
        <v>242</v>
      </c>
      <c r="N4" s="17" t="s">
        <v>243</v>
      </c>
    </row>
    <row r="5" customFormat="false" ht="23.85" hidden="false" customHeight="false" outlineLevel="0" collapsed="false">
      <c r="A5" s="18" t="s">
        <v>73</v>
      </c>
      <c r="B5" s="19" t="s">
        <v>244</v>
      </c>
      <c r="C5" s="19" t="s">
        <v>245</v>
      </c>
      <c r="D5" s="18" t="s">
        <v>246</v>
      </c>
      <c r="E5" s="23" t="n">
        <v>30</v>
      </c>
      <c r="F5" s="21" t="n">
        <f aca="false">Dashboard!$C$4+E5</f>
        <v>46339</v>
      </c>
      <c r="G5" s="19" t="s">
        <v>247</v>
      </c>
      <c r="H5" s="18" t="n">
        <f aca="false">COUNTIF('Gap Register'!$I$5:$I$300,A5)</f>
        <v>6</v>
      </c>
      <c r="I5" s="18" t="n">
        <f aca="false">COUNTIFS('Gap Register'!$I$5:$I$300,A5,'Gap Register'!$J$5:$J$300,"&lt;&gt;Closed")</f>
        <v>6</v>
      </c>
      <c r="J5" s="20" t="s">
        <v>248</v>
      </c>
      <c r="K5" s="24" t="n">
        <v>0</v>
      </c>
      <c r="L5" s="22"/>
      <c r="M5" s="22"/>
      <c r="N5" s="22"/>
    </row>
    <row r="6" customFormat="false" ht="23.85" hidden="false" customHeight="false" outlineLevel="0" collapsed="false">
      <c r="A6" s="18" t="s">
        <v>93</v>
      </c>
      <c r="B6" s="19" t="s">
        <v>249</v>
      </c>
      <c r="C6" s="19" t="s">
        <v>250</v>
      </c>
      <c r="D6" s="18" t="s">
        <v>251</v>
      </c>
      <c r="E6" s="23" t="n">
        <v>120</v>
      </c>
      <c r="F6" s="21" t="n">
        <f aca="false">Dashboard!$C$4+E6</f>
        <v>46429</v>
      </c>
      <c r="G6" s="19" t="s">
        <v>252</v>
      </c>
      <c r="H6" s="18" t="n">
        <f aca="false">COUNTIF('Gap Register'!$I$5:$I$300,A6)</f>
        <v>5</v>
      </c>
      <c r="I6" s="18" t="n">
        <f aca="false">COUNTIFS('Gap Register'!$I$5:$I$300,A6,'Gap Register'!$J$5:$J$300,"&lt;&gt;Closed")</f>
        <v>5</v>
      </c>
      <c r="J6" s="20" t="s">
        <v>248</v>
      </c>
      <c r="K6" s="24" t="n">
        <v>0</v>
      </c>
      <c r="L6" s="22"/>
      <c r="M6" s="22"/>
      <c r="N6" s="22"/>
    </row>
    <row r="7" customFormat="false" ht="35.05" hidden="false" customHeight="false" outlineLevel="0" collapsed="false">
      <c r="A7" s="18" t="s">
        <v>110</v>
      </c>
      <c r="B7" s="19" t="s">
        <v>253</v>
      </c>
      <c r="C7" s="19" t="s">
        <v>254</v>
      </c>
      <c r="D7" s="18" t="s">
        <v>251</v>
      </c>
      <c r="E7" s="23" t="n">
        <v>120</v>
      </c>
      <c r="F7" s="21" t="n">
        <f aca="false">Dashboard!$C$4+E7</f>
        <v>46429</v>
      </c>
      <c r="G7" s="19" t="s">
        <v>255</v>
      </c>
      <c r="H7" s="18" t="n">
        <f aca="false">COUNTIF('Gap Register'!$I$5:$I$300,A7)</f>
        <v>10</v>
      </c>
      <c r="I7" s="18" t="n">
        <f aca="false">COUNTIFS('Gap Register'!$I$5:$I$300,A7,'Gap Register'!$J$5:$J$300,"&lt;&gt;Closed")</f>
        <v>10</v>
      </c>
      <c r="J7" s="20" t="s">
        <v>248</v>
      </c>
      <c r="K7" s="24" t="n">
        <v>0</v>
      </c>
      <c r="L7" s="22"/>
      <c r="M7" s="22"/>
      <c r="N7" s="22"/>
    </row>
    <row r="8" customFormat="false" ht="23.85" hidden="false" customHeight="false" outlineLevel="0" collapsed="false">
      <c r="A8" s="18" t="s">
        <v>208</v>
      </c>
      <c r="B8" s="19" t="s">
        <v>256</v>
      </c>
      <c r="C8" s="19" t="s">
        <v>257</v>
      </c>
      <c r="D8" s="18" t="s">
        <v>251</v>
      </c>
      <c r="E8" s="23" t="n">
        <v>120</v>
      </c>
      <c r="F8" s="21" t="n">
        <f aca="false">Dashboard!$C$4+E8</f>
        <v>46429</v>
      </c>
      <c r="G8" s="19" t="s">
        <v>258</v>
      </c>
      <c r="H8" s="18" t="n">
        <f aca="false">COUNTIF('Gap Register'!$I$5:$I$300,A8)</f>
        <v>1</v>
      </c>
      <c r="I8" s="18" t="n">
        <f aca="false">COUNTIFS('Gap Register'!$I$5:$I$300,A8,'Gap Register'!$J$5:$J$300,"&lt;&gt;Closed")</f>
        <v>1</v>
      </c>
      <c r="J8" s="20" t="s">
        <v>248</v>
      </c>
      <c r="K8" s="24" t="n">
        <v>0</v>
      </c>
      <c r="L8" s="22"/>
      <c r="M8" s="22"/>
      <c r="N8" s="22"/>
    </row>
    <row r="9" customFormat="false" ht="23.85" hidden="false" customHeight="false" outlineLevel="0" collapsed="false">
      <c r="A9" s="18" t="s">
        <v>186</v>
      </c>
      <c r="B9" s="19" t="s">
        <v>259</v>
      </c>
      <c r="C9" s="19" t="s">
        <v>260</v>
      </c>
      <c r="D9" s="18" t="s">
        <v>251</v>
      </c>
      <c r="E9" s="23" t="n">
        <v>120</v>
      </c>
      <c r="F9" s="21" t="n">
        <f aca="false">Dashboard!$C$4+E9</f>
        <v>46429</v>
      </c>
      <c r="G9" s="19" t="s">
        <v>261</v>
      </c>
      <c r="H9" s="18" t="n">
        <f aca="false">COUNTIF('Gap Register'!$I$5:$I$300,A9)</f>
        <v>4</v>
      </c>
      <c r="I9" s="18" t="n">
        <f aca="false">COUNTIFS('Gap Register'!$I$5:$I$300,A9,'Gap Register'!$J$5:$J$300,"&lt;&gt;Closed")</f>
        <v>4</v>
      </c>
      <c r="J9" s="20" t="s">
        <v>248</v>
      </c>
      <c r="K9" s="24" t="n">
        <v>0</v>
      </c>
      <c r="L9" s="22"/>
      <c r="M9" s="22"/>
      <c r="N9" s="22"/>
    </row>
    <row r="10" customFormat="false" ht="15" hidden="false" customHeight="false" outlineLevel="0" collapsed="false">
      <c r="A10" s="18" t="s">
        <v>138</v>
      </c>
      <c r="B10" s="19" t="s">
        <v>262</v>
      </c>
      <c r="C10" s="19" t="s">
        <v>260</v>
      </c>
      <c r="D10" s="18" t="s">
        <v>251</v>
      </c>
      <c r="E10" s="23" t="n">
        <v>120</v>
      </c>
      <c r="F10" s="21" t="n">
        <f aca="false">Dashboard!$C$4+E10</f>
        <v>46429</v>
      </c>
      <c r="G10" s="19" t="s">
        <v>263</v>
      </c>
      <c r="H10" s="18" t="n">
        <f aca="false">COUNTIF('Gap Register'!$I$5:$I$300,A10)</f>
        <v>13</v>
      </c>
      <c r="I10" s="18" t="n">
        <f aca="false">COUNTIFS('Gap Register'!$I$5:$I$300,A10,'Gap Register'!$J$5:$J$300,"&lt;&gt;Closed")</f>
        <v>13</v>
      </c>
      <c r="J10" s="20" t="s">
        <v>248</v>
      </c>
      <c r="K10" s="24" t="n">
        <v>0</v>
      </c>
      <c r="L10" s="22"/>
      <c r="M10" s="22"/>
      <c r="N10" s="22"/>
    </row>
    <row r="11" customFormat="false" ht="23.85" hidden="false" customHeight="false" outlineLevel="0" collapsed="false">
      <c r="A11" s="18" t="s">
        <v>170</v>
      </c>
      <c r="B11" s="19" t="s">
        <v>264</v>
      </c>
      <c r="C11" s="19" t="s">
        <v>265</v>
      </c>
      <c r="D11" s="18" t="s">
        <v>251</v>
      </c>
      <c r="E11" s="23" t="n">
        <v>120</v>
      </c>
      <c r="F11" s="21" t="n">
        <f aca="false">Dashboard!$C$4+E11</f>
        <v>46429</v>
      </c>
      <c r="G11" s="19" t="s">
        <v>266</v>
      </c>
      <c r="H11" s="18" t="n">
        <f aca="false">COUNTIF('Gap Register'!$I$5:$I$300,A11)</f>
        <v>7</v>
      </c>
      <c r="I11" s="18" t="n">
        <f aca="false">COUNTIFS('Gap Register'!$I$5:$I$300,A11,'Gap Register'!$J$5:$J$300,"&lt;&gt;Closed")</f>
        <v>7</v>
      </c>
      <c r="J11" s="20" t="s">
        <v>248</v>
      </c>
      <c r="K11" s="24" t="n">
        <v>0</v>
      </c>
      <c r="L11" s="22"/>
      <c r="M11" s="22"/>
      <c r="N11" s="22"/>
    </row>
    <row r="12" customFormat="false" ht="23.85" hidden="false" customHeight="false" outlineLevel="0" collapsed="false">
      <c r="A12" s="18" t="s">
        <v>215</v>
      </c>
      <c r="B12" s="19" t="s">
        <v>267</v>
      </c>
      <c r="C12" s="19" t="s">
        <v>268</v>
      </c>
      <c r="D12" s="18" t="s">
        <v>246</v>
      </c>
      <c r="E12" s="23" t="n">
        <v>30</v>
      </c>
      <c r="F12" s="21" t="n">
        <f aca="false">Dashboard!$C$4+E12</f>
        <v>46339</v>
      </c>
      <c r="G12" s="19" t="s">
        <v>269</v>
      </c>
      <c r="H12" s="18" t="n">
        <f aca="false">COUNTIF('Gap Register'!$I$5:$I$300,A12)</f>
        <v>5</v>
      </c>
      <c r="I12" s="18" t="n">
        <f aca="false">COUNTIFS('Gap Register'!$I$5:$I$300,A12,'Gap Register'!$J$5:$J$300,"&lt;&gt;Closed")</f>
        <v>5</v>
      </c>
      <c r="J12" s="20" t="s">
        <v>248</v>
      </c>
      <c r="K12" s="24" t="n">
        <v>0</v>
      </c>
      <c r="L12" s="22"/>
      <c r="M12" s="22"/>
      <c r="N12" s="22"/>
    </row>
    <row r="13" customFormat="false" ht="23.85" hidden="false" customHeight="false" outlineLevel="0" collapsed="false">
      <c r="A13" s="18" t="s">
        <v>196</v>
      </c>
      <c r="B13" s="19" t="s">
        <v>270</v>
      </c>
      <c r="C13" s="19" t="s">
        <v>271</v>
      </c>
      <c r="D13" s="18" t="s">
        <v>272</v>
      </c>
      <c r="E13" s="23" t="n">
        <v>210</v>
      </c>
      <c r="F13" s="21" t="n">
        <f aca="false">Dashboard!$C$4+E13</f>
        <v>46519</v>
      </c>
      <c r="G13" s="19" t="s">
        <v>273</v>
      </c>
      <c r="H13" s="18" t="n">
        <f aca="false">COUNTIF('Gap Register'!$I$5:$I$300,A13)</f>
        <v>5</v>
      </c>
      <c r="I13" s="18" t="n">
        <f aca="false">COUNTIFS('Gap Register'!$I$5:$I$300,A13,'Gap Register'!$J$5:$J$300,"&lt;&gt;Closed")</f>
        <v>5</v>
      </c>
      <c r="J13" s="20" t="s">
        <v>248</v>
      </c>
      <c r="K13" s="24" t="n">
        <v>0</v>
      </c>
      <c r="L13" s="22"/>
      <c r="M13" s="22"/>
      <c r="N13" s="22"/>
    </row>
    <row r="14" customFormat="false" ht="15" hidden="false" customHeight="false" outlineLevel="0" collapsed="false">
      <c r="A14" s="18" t="s">
        <v>226</v>
      </c>
      <c r="B14" s="19" t="s">
        <v>274</v>
      </c>
      <c r="C14" s="19" t="s">
        <v>101</v>
      </c>
      <c r="D14" s="18" t="s">
        <v>246</v>
      </c>
      <c r="E14" s="23" t="n">
        <v>30</v>
      </c>
      <c r="F14" s="21" t="n">
        <f aca="false">Dashboard!$C$4+E14</f>
        <v>46339</v>
      </c>
      <c r="G14" s="19" t="s">
        <v>101</v>
      </c>
      <c r="H14" s="18" t="n">
        <f aca="false">COUNTIF('Gap Register'!$I$5:$I$300,A14)</f>
        <v>1</v>
      </c>
      <c r="I14" s="18" t="n">
        <f aca="false">COUNTIFS('Gap Register'!$I$5:$I$300,A14,'Gap Register'!$J$5:$J$300,"&lt;&gt;Closed")</f>
        <v>1</v>
      </c>
      <c r="J14" s="20" t="s">
        <v>248</v>
      </c>
      <c r="K14" s="24" t="n">
        <v>0</v>
      </c>
      <c r="L14" s="22"/>
      <c r="M14" s="22"/>
      <c r="N14" s="22"/>
    </row>
    <row r="15" customFormat="false" ht="23.85" hidden="false" customHeight="false" outlineLevel="0" collapsed="false">
      <c r="A15" s="18" t="s">
        <v>230</v>
      </c>
      <c r="B15" s="19" t="s">
        <v>275</v>
      </c>
      <c r="C15" s="19" t="s">
        <v>276</v>
      </c>
      <c r="D15" s="18" t="s">
        <v>272</v>
      </c>
      <c r="E15" s="23" t="n">
        <v>210</v>
      </c>
      <c r="F15" s="21" t="n">
        <f aca="false">Dashboard!$C$4+E15</f>
        <v>46519</v>
      </c>
      <c r="G15" s="19" t="s">
        <v>263</v>
      </c>
      <c r="H15" s="18" t="n">
        <f aca="false">COUNTIF('Gap Register'!$I$5:$I$300,A15)</f>
        <v>1</v>
      </c>
      <c r="I15" s="18" t="n">
        <f aca="false">COUNTIFS('Gap Register'!$I$5:$I$300,A15,'Gap Register'!$J$5:$J$300,"&lt;&gt;Closed")</f>
        <v>1</v>
      </c>
      <c r="J15" s="20" t="s">
        <v>248</v>
      </c>
      <c r="K15" s="24" t="n">
        <v>0</v>
      </c>
      <c r="L15" s="22"/>
      <c r="M15" s="22"/>
      <c r="N15" s="22"/>
    </row>
    <row r="17" customFormat="false" ht="15" hidden="false" customHeight="false" outlineLevel="0" collapsed="false">
      <c r="A17" s="2" t="s">
        <v>277</v>
      </c>
    </row>
  </sheetData>
  <autoFilter ref="A4:N15"/>
  <conditionalFormatting sqref="J5:J15">
    <cfRule type="cellIs" priority="2" operator="equal" aboveAverage="0" equalAverage="0" bottom="0" percent="0" rank="0" text="" dxfId="13">
      <formula>"Complete"</formula>
    </cfRule>
    <cfRule type="cellIs" priority="3" operator="equal" aboveAverage="0" equalAverage="0" bottom="0" percent="0" rank="0" text="" dxfId="14">
      <formula>"Blocked"</formula>
    </cfRule>
  </conditionalFormatting>
  <conditionalFormatting sqref="F5:F15">
    <cfRule type="expression" priority="4" aboveAverage="0" equalAverage="0" bottom="0" percent="0" rank="0" text="" dxfId="15">
      <formula>AND(F5&lt;TODAY(),$J5&lt;&gt;"Complete")</formula>
    </cfRule>
  </conditionalFormatting>
  <dataValidations count="1">
    <dataValidation allowBlank="true" errorStyle="stop" operator="between" showDropDown="false" showErrorMessage="false" showInputMessage="false" sqref="J5:J15" type="list">
      <formula1>Lists!$B$4:$B$7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8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4" min="3" style="0" width="22"/>
    <col collapsed="false" customWidth="true" hidden="false" outlineLevel="0" max="5" min="5" style="0" width="18"/>
    <col collapsed="false" customWidth="true" hidden="false" outlineLevel="0" max="6" min="6" style="0" width="34"/>
    <col collapsed="false" customWidth="true" hidden="false" outlineLevel="0" max="7" min="7" style="0" width="46"/>
    <col collapsed="false" customWidth="true" hidden="false" outlineLevel="0" max="8" min="8" style="0" width="18"/>
    <col collapsed="false" customWidth="true" hidden="false" outlineLevel="0" max="9" min="9" style="0" width="24"/>
    <col collapsed="false" customWidth="true" hidden="false" outlineLevel="0" max="10" min="10" style="0" width="36"/>
    <col collapsed="false" customWidth="true" hidden="false" outlineLevel="0" max="11" min="11" style="0" width="12"/>
    <col collapsed="false" customWidth="true" hidden="false" outlineLevel="0" max="12" min="12" style="0" width="18"/>
    <col collapsed="false" customWidth="true" hidden="false" outlineLevel="0" max="13" min="13" style="0" width="16"/>
    <col collapsed="false" customWidth="true" hidden="false" outlineLevel="0" max="14" min="14" style="0" width="12"/>
    <col collapsed="false" customWidth="true" hidden="false" outlineLevel="0" max="15" min="15" style="0" width="30"/>
  </cols>
  <sheetData>
    <row r="1" customFormat="false" ht="17.35" hidden="false" customHeight="false" outlineLevel="0" collapsed="false">
      <c r="A1" s="16" t="s">
        <v>278</v>
      </c>
    </row>
    <row r="2" customFormat="false" ht="31.5" hidden="false" customHeight="true" outlineLevel="0" collapsed="false">
      <c r="A2" s="25" t="s">
        <v>279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</row>
    <row r="4" customFormat="false" ht="31.5" hidden="false" customHeight="true" outlineLevel="0" collapsed="false">
      <c r="A4" s="17" t="s">
        <v>56</v>
      </c>
      <c r="B4" s="17" t="s">
        <v>280</v>
      </c>
      <c r="C4" s="17" t="s">
        <v>281</v>
      </c>
      <c r="D4" s="17" t="s">
        <v>282</v>
      </c>
      <c r="E4" s="17" t="s">
        <v>283</v>
      </c>
      <c r="F4" s="17" t="s">
        <v>284</v>
      </c>
      <c r="G4" s="17" t="s">
        <v>285</v>
      </c>
      <c r="H4" s="17" t="s">
        <v>286</v>
      </c>
      <c r="I4" s="17" t="s">
        <v>287</v>
      </c>
      <c r="J4" s="17" t="s">
        <v>288</v>
      </c>
      <c r="K4" s="17" t="s">
        <v>289</v>
      </c>
      <c r="L4" s="17" t="s">
        <v>290</v>
      </c>
      <c r="M4" s="17" t="s">
        <v>64</v>
      </c>
      <c r="N4" s="17" t="s">
        <v>45</v>
      </c>
      <c r="O4" s="17" t="s">
        <v>291</v>
      </c>
    </row>
    <row r="5" customFormat="false" ht="35.05" hidden="false" customHeight="false" outlineLevel="0" collapsed="false">
      <c r="A5" s="18" t="s">
        <v>292</v>
      </c>
      <c r="B5" s="19" t="s">
        <v>293</v>
      </c>
      <c r="C5" s="19" t="s">
        <v>294</v>
      </c>
      <c r="D5" s="19" t="s">
        <v>295</v>
      </c>
      <c r="E5" s="19" t="s">
        <v>296</v>
      </c>
      <c r="F5" s="19" t="s">
        <v>297</v>
      </c>
      <c r="G5" s="19" t="s">
        <v>298</v>
      </c>
      <c r="H5" s="18" t="s">
        <v>299</v>
      </c>
      <c r="I5" s="19" t="s">
        <v>300</v>
      </c>
      <c r="J5" s="19" t="s">
        <v>301</v>
      </c>
      <c r="K5" s="18" t="s">
        <v>302</v>
      </c>
      <c r="L5" s="22" t="s">
        <v>303</v>
      </c>
      <c r="M5" s="20" t="s">
        <v>304</v>
      </c>
      <c r="N5" s="20" t="s">
        <v>305</v>
      </c>
      <c r="O5" s="22"/>
    </row>
    <row r="6" customFormat="false" ht="23.85" hidden="false" customHeight="false" outlineLevel="0" collapsed="false">
      <c r="A6" s="18" t="s">
        <v>306</v>
      </c>
      <c r="B6" s="19" t="s">
        <v>307</v>
      </c>
      <c r="C6" s="19" t="s">
        <v>105</v>
      </c>
      <c r="D6" s="19" t="s">
        <v>308</v>
      </c>
      <c r="E6" s="19" t="s">
        <v>309</v>
      </c>
      <c r="F6" s="19" t="s">
        <v>310</v>
      </c>
      <c r="G6" s="19" t="s">
        <v>311</v>
      </c>
      <c r="H6" s="18" t="s">
        <v>299</v>
      </c>
      <c r="I6" s="19" t="s">
        <v>312</v>
      </c>
      <c r="J6" s="19" t="s">
        <v>313</v>
      </c>
      <c r="K6" s="18" t="s">
        <v>314</v>
      </c>
      <c r="L6" s="22" t="s">
        <v>303</v>
      </c>
      <c r="M6" s="20" t="s">
        <v>304</v>
      </c>
      <c r="N6" s="20" t="s">
        <v>305</v>
      </c>
      <c r="O6" s="22"/>
    </row>
    <row r="7" customFormat="false" ht="35.05" hidden="false" customHeight="false" outlineLevel="0" collapsed="false">
      <c r="A7" s="18" t="s">
        <v>315</v>
      </c>
      <c r="B7" s="19" t="s">
        <v>316</v>
      </c>
      <c r="C7" s="19" t="s">
        <v>317</v>
      </c>
      <c r="D7" s="19" t="s">
        <v>318</v>
      </c>
      <c r="E7" s="19" t="s">
        <v>319</v>
      </c>
      <c r="F7" s="19" t="s">
        <v>320</v>
      </c>
      <c r="G7" s="19" t="s">
        <v>321</v>
      </c>
      <c r="H7" s="18" t="s">
        <v>304</v>
      </c>
      <c r="I7" s="19" t="s">
        <v>322</v>
      </c>
      <c r="J7" s="19" t="s">
        <v>323</v>
      </c>
      <c r="K7" s="18" t="s">
        <v>324</v>
      </c>
      <c r="L7" s="22" t="s">
        <v>325</v>
      </c>
      <c r="M7" s="20" t="s">
        <v>304</v>
      </c>
      <c r="N7" s="20" t="s">
        <v>305</v>
      </c>
      <c r="O7" s="22"/>
    </row>
    <row r="8" customFormat="false" ht="23.85" hidden="false" customHeight="false" outlineLevel="0" collapsed="false">
      <c r="A8" s="18" t="s">
        <v>326</v>
      </c>
      <c r="B8" s="19" t="s">
        <v>327</v>
      </c>
      <c r="C8" s="19" t="s">
        <v>261</v>
      </c>
      <c r="D8" s="19" t="s">
        <v>328</v>
      </c>
      <c r="E8" s="19" t="s">
        <v>329</v>
      </c>
      <c r="F8" s="19" t="s">
        <v>330</v>
      </c>
      <c r="G8" s="19" t="s">
        <v>331</v>
      </c>
      <c r="H8" s="18" t="s">
        <v>304</v>
      </c>
      <c r="I8" s="19" t="s">
        <v>312</v>
      </c>
      <c r="J8" s="19" t="s">
        <v>332</v>
      </c>
      <c r="K8" s="18" t="s">
        <v>333</v>
      </c>
      <c r="L8" s="22" t="s">
        <v>334</v>
      </c>
      <c r="M8" s="20" t="s">
        <v>304</v>
      </c>
      <c r="N8" s="20" t="s">
        <v>305</v>
      </c>
      <c r="O8" s="22"/>
    </row>
    <row r="9" customFormat="false" ht="23.85" hidden="false" customHeight="false" outlineLevel="0" collapsed="false">
      <c r="A9" s="18" t="s">
        <v>335</v>
      </c>
      <c r="B9" s="19" t="s">
        <v>336</v>
      </c>
      <c r="C9" s="19" t="s">
        <v>337</v>
      </c>
      <c r="D9" s="19" t="s">
        <v>338</v>
      </c>
      <c r="E9" s="19" t="s">
        <v>339</v>
      </c>
      <c r="F9" s="19" t="s">
        <v>330</v>
      </c>
      <c r="G9" s="19" t="s">
        <v>340</v>
      </c>
      <c r="H9" s="18" t="s">
        <v>341</v>
      </c>
      <c r="I9" s="19" t="s">
        <v>342</v>
      </c>
      <c r="J9" s="19" t="s">
        <v>343</v>
      </c>
      <c r="K9" s="18" t="s">
        <v>344</v>
      </c>
      <c r="L9" s="22" t="s">
        <v>345</v>
      </c>
      <c r="M9" s="20" t="s">
        <v>304</v>
      </c>
      <c r="N9" s="20" t="s">
        <v>305</v>
      </c>
      <c r="O9" s="22"/>
    </row>
    <row r="10" customFormat="false" ht="23.85" hidden="false" customHeight="false" outlineLevel="0" collapsed="false">
      <c r="A10" s="18" t="s">
        <v>346</v>
      </c>
      <c r="B10" s="19" t="s">
        <v>347</v>
      </c>
      <c r="C10" s="19" t="s">
        <v>348</v>
      </c>
      <c r="D10" s="19" t="s">
        <v>349</v>
      </c>
      <c r="E10" s="19" t="s">
        <v>350</v>
      </c>
      <c r="F10" s="19" t="s">
        <v>351</v>
      </c>
      <c r="G10" s="19" t="s">
        <v>352</v>
      </c>
      <c r="H10" s="18" t="s">
        <v>299</v>
      </c>
      <c r="I10" s="19" t="s">
        <v>353</v>
      </c>
      <c r="J10" s="19" t="s">
        <v>354</v>
      </c>
      <c r="K10" s="18" t="s">
        <v>355</v>
      </c>
      <c r="L10" s="22" t="s">
        <v>250</v>
      </c>
      <c r="M10" s="20" t="s">
        <v>304</v>
      </c>
      <c r="N10" s="20" t="s">
        <v>305</v>
      </c>
      <c r="O10" s="22"/>
    </row>
    <row r="11" customFormat="false" ht="23.85" hidden="false" customHeight="false" outlineLevel="0" collapsed="false">
      <c r="A11" s="18" t="s">
        <v>356</v>
      </c>
      <c r="B11" s="19" t="s">
        <v>357</v>
      </c>
      <c r="C11" s="19" t="s">
        <v>254</v>
      </c>
      <c r="D11" s="19" t="s">
        <v>358</v>
      </c>
      <c r="E11" s="19" t="s">
        <v>359</v>
      </c>
      <c r="F11" s="19" t="s">
        <v>360</v>
      </c>
      <c r="G11" s="19" t="s">
        <v>361</v>
      </c>
      <c r="H11" s="18" t="s">
        <v>299</v>
      </c>
      <c r="I11" s="19" t="s">
        <v>362</v>
      </c>
      <c r="J11" s="19" t="s">
        <v>363</v>
      </c>
      <c r="K11" s="18"/>
      <c r="L11" s="22" t="s">
        <v>254</v>
      </c>
      <c r="M11" s="20" t="s">
        <v>304</v>
      </c>
      <c r="N11" s="20" t="s">
        <v>305</v>
      </c>
      <c r="O11" s="22"/>
    </row>
    <row r="12" customFormat="false" ht="23.85" hidden="false" customHeight="false" outlineLevel="0" collapsed="false">
      <c r="A12" s="18" t="s">
        <v>364</v>
      </c>
      <c r="B12" s="19" t="s">
        <v>365</v>
      </c>
      <c r="C12" s="19" t="s">
        <v>366</v>
      </c>
      <c r="D12" s="19" t="s">
        <v>367</v>
      </c>
      <c r="E12" s="19" t="s">
        <v>368</v>
      </c>
      <c r="F12" s="19" t="s">
        <v>369</v>
      </c>
      <c r="G12" s="19" t="s">
        <v>370</v>
      </c>
      <c r="H12" s="18" t="s">
        <v>341</v>
      </c>
      <c r="I12" s="19" t="s">
        <v>312</v>
      </c>
      <c r="J12" s="19" t="s">
        <v>371</v>
      </c>
      <c r="K12" s="18" t="s">
        <v>372</v>
      </c>
      <c r="L12" s="22" t="s">
        <v>373</v>
      </c>
      <c r="M12" s="20" t="s">
        <v>304</v>
      </c>
      <c r="N12" s="20" t="s">
        <v>305</v>
      </c>
      <c r="O12" s="22"/>
    </row>
    <row r="13" customFormat="false" ht="23.85" hidden="false" customHeight="false" outlineLevel="0" collapsed="false">
      <c r="A13" s="18" t="s">
        <v>374</v>
      </c>
      <c r="B13" s="19" t="s">
        <v>375</v>
      </c>
      <c r="C13" s="19" t="s">
        <v>376</v>
      </c>
      <c r="D13" s="19" t="s">
        <v>377</v>
      </c>
      <c r="E13" s="19" t="s">
        <v>378</v>
      </c>
      <c r="F13" s="19" t="s">
        <v>330</v>
      </c>
      <c r="G13" s="19" t="s">
        <v>379</v>
      </c>
      <c r="H13" s="18" t="s">
        <v>304</v>
      </c>
      <c r="I13" s="19" t="s">
        <v>380</v>
      </c>
      <c r="J13" s="19" t="s">
        <v>381</v>
      </c>
      <c r="K13" s="18" t="s">
        <v>382</v>
      </c>
      <c r="L13" s="22" t="s">
        <v>383</v>
      </c>
      <c r="M13" s="20" t="s">
        <v>304</v>
      </c>
      <c r="N13" s="20" t="s">
        <v>305</v>
      </c>
      <c r="O13" s="22"/>
    </row>
    <row r="14" customFormat="false" ht="23.85" hidden="false" customHeight="false" outlineLevel="0" collapsed="false">
      <c r="A14" s="18" t="s">
        <v>384</v>
      </c>
      <c r="B14" s="19" t="s">
        <v>385</v>
      </c>
      <c r="C14" s="19" t="s">
        <v>83</v>
      </c>
      <c r="D14" s="19" t="s">
        <v>386</v>
      </c>
      <c r="E14" s="19" t="s">
        <v>387</v>
      </c>
      <c r="F14" s="19" t="s">
        <v>330</v>
      </c>
      <c r="G14" s="19" t="s">
        <v>388</v>
      </c>
      <c r="H14" s="18" t="s">
        <v>304</v>
      </c>
      <c r="I14" s="19" t="s">
        <v>389</v>
      </c>
      <c r="J14" s="19" t="s">
        <v>390</v>
      </c>
      <c r="K14" s="18" t="s">
        <v>391</v>
      </c>
      <c r="L14" s="22" t="s">
        <v>392</v>
      </c>
      <c r="M14" s="20" t="s">
        <v>304</v>
      </c>
      <c r="N14" s="20" t="s">
        <v>305</v>
      </c>
      <c r="O14" s="22"/>
    </row>
    <row r="15" customFormat="false" ht="23.85" hidden="false" customHeight="false" outlineLevel="0" collapsed="false">
      <c r="A15" s="18" t="s">
        <v>393</v>
      </c>
      <c r="B15" s="19" t="s">
        <v>394</v>
      </c>
      <c r="C15" s="19" t="s">
        <v>152</v>
      </c>
      <c r="D15" s="19" t="s">
        <v>395</v>
      </c>
      <c r="E15" s="19" t="s">
        <v>396</v>
      </c>
      <c r="F15" s="19" t="s">
        <v>330</v>
      </c>
      <c r="G15" s="19" t="s">
        <v>397</v>
      </c>
      <c r="H15" s="18" t="s">
        <v>341</v>
      </c>
      <c r="I15" s="19" t="s">
        <v>398</v>
      </c>
      <c r="J15" s="19" t="s">
        <v>399</v>
      </c>
      <c r="K15" s="18" t="s">
        <v>400</v>
      </c>
      <c r="L15" s="22" t="s">
        <v>401</v>
      </c>
      <c r="M15" s="20" t="s">
        <v>304</v>
      </c>
      <c r="N15" s="20" t="s">
        <v>305</v>
      </c>
      <c r="O15" s="22"/>
    </row>
    <row r="16" customFormat="false" ht="23.85" hidden="false" customHeight="false" outlineLevel="0" collapsed="false">
      <c r="A16" s="18" t="s">
        <v>402</v>
      </c>
      <c r="B16" s="19" t="s">
        <v>403</v>
      </c>
      <c r="C16" s="19" t="s">
        <v>152</v>
      </c>
      <c r="D16" s="19" t="s">
        <v>404</v>
      </c>
      <c r="E16" s="19" t="s">
        <v>405</v>
      </c>
      <c r="F16" s="19" t="s">
        <v>330</v>
      </c>
      <c r="G16" s="19" t="s">
        <v>406</v>
      </c>
      <c r="H16" s="18" t="s">
        <v>304</v>
      </c>
      <c r="I16" s="19" t="s">
        <v>407</v>
      </c>
      <c r="J16" s="19" t="s">
        <v>408</v>
      </c>
      <c r="K16" s="18" t="s">
        <v>400</v>
      </c>
      <c r="L16" s="22" t="s">
        <v>401</v>
      </c>
      <c r="M16" s="20" t="s">
        <v>304</v>
      </c>
      <c r="N16" s="20" t="s">
        <v>305</v>
      </c>
      <c r="O16" s="22"/>
    </row>
    <row r="17" customFormat="false" ht="23.85" hidden="false" customHeight="false" outlineLevel="0" collapsed="false">
      <c r="A17" s="18" t="s">
        <v>409</v>
      </c>
      <c r="B17" s="19" t="s">
        <v>410</v>
      </c>
      <c r="C17" s="19" t="s">
        <v>97</v>
      </c>
      <c r="D17" s="19" t="s">
        <v>411</v>
      </c>
      <c r="E17" s="19" t="s">
        <v>296</v>
      </c>
      <c r="F17" s="19" t="s">
        <v>412</v>
      </c>
      <c r="G17" s="19" t="s">
        <v>413</v>
      </c>
      <c r="H17" s="18" t="s">
        <v>341</v>
      </c>
      <c r="I17" s="19" t="s">
        <v>312</v>
      </c>
      <c r="J17" s="19" t="s">
        <v>414</v>
      </c>
      <c r="K17" s="18" t="s">
        <v>415</v>
      </c>
      <c r="L17" s="22" t="s">
        <v>416</v>
      </c>
      <c r="M17" s="20" t="s">
        <v>304</v>
      </c>
      <c r="N17" s="20" t="s">
        <v>305</v>
      </c>
      <c r="O17" s="22"/>
    </row>
    <row r="18" customFormat="false" ht="15" hidden="false" customHeight="false" outlineLevel="0" collapsed="false">
      <c r="A18" s="18" t="s">
        <v>417</v>
      </c>
      <c r="B18" s="19" t="s">
        <v>418</v>
      </c>
      <c r="C18" s="19" t="s">
        <v>97</v>
      </c>
      <c r="D18" s="19" t="s">
        <v>411</v>
      </c>
      <c r="E18" s="19" t="s">
        <v>419</v>
      </c>
      <c r="F18" s="19" t="s">
        <v>420</v>
      </c>
      <c r="G18" s="19" t="s">
        <v>421</v>
      </c>
      <c r="H18" s="18" t="s">
        <v>304</v>
      </c>
      <c r="I18" s="19" t="s">
        <v>312</v>
      </c>
      <c r="J18" s="19" t="s">
        <v>422</v>
      </c>
      <c r="K18" s="18" t="s">
        <v>415</v>
      </c>
      <c r="L18" s="22" t="s">
        <v>416</v>
      </c>
      <c r="M18" s="20" t="s">
        <v>304</v>
      </c>
      <c r="N18" s="20" t="s">
        <v>305</v>
      </c>
      <c r="O18" s="22"/>
    </row>
    <row r="19" customFormat="false" ht="15" hidden="false" customHeight="false" outlineLevel="0" collapsed="false">
      <c r="A19" s="18" t="s">
        <v>423</v>
      </c>
      <c r="B19" s="19" t="s">
        <v>424</v>
      </c>
      <c r="C19" s="19" t="s">
        <v>97</v>
      </c>
      <c r="D19" s="19" t="s">
        <v>425</v>
      </c>
      <c r="E19" s="19" t="s">
        <v>426</v>
      </c>
      <c r="F19" s="19" t="s">
        <v>330</v>
      </c>
      <c r="G19" s="19" t="s">
        <v>427</v>
      </c>
      <c r="H19" s="18" t="s">
        <v>341</v>
      </c>
      <c r="I19" s="19" t="s">
        <v>428</v>
      </c>
      <c r="J19" s="19" t="s">
        <v>429</v>
      </c>
      <c r="K19" s="18" t="s">
        <v>415</v>
      </c>
      <c r="L19" s="22" t="s">
        <v>416</v>
      </c>
      <c r="M19" s="20" t="s">
        <v>304</v>
      </c>
      <c r="N19" s="20" t="s">
        <v>305</v>
      </c>
      <c r="O19" s="22"/>
    </row>
    <row r="20" customFormat="false" ht="23.85" hidden="false" customHeight="false" outlineLevel="0" collapsed="false">
      <c r="A20" s="18" t="s">
        <v>430</v>
      </c>
      <c r="B20" s="19" t="s">
        <v>431</v>
      </c>
      <c r="C20" s="19" t="s">
        <v>432</v>
      </c>
      <c r="D20" s="19" t="s">
        <v>433</v>
      </c>
      <c r="E20" s="19" t="s">
        <v>419</v>
      </c>
      <c r="F20" s="19" t="s">
        <v>434</v>
      </c>
      <c r="G20" s="19" t="s">
        <v>435</v>
      </c>
      <c r="H20" s="18" t="s">
        <v>304</v>
      </c>
      <c r="I20" s="19" t="s">
        <v>436</v>
      </c>
      <c r="J20" s="19" t="s">
        <v>437</v>
      </c>
      <c r="K20" s="18" t="s">
        <v>415</v>
      </c>
      <c r="L20" s="22" t="s">
        <v>438</v>
      </c>
      <c r="M20" s="20" t="s">
        <v>304</v>
      </c>
      <c r="N20" s="20" t="s">
        <v>305</v>
      </c>
      <c r="O20" s="22"/>
    </row>
    <row r="21" customFormat="false" ht="15" hidden="false" customHeight="false" outlineLevel="0" collapsed="false">
      <c r="A21" s="18" t="s">
        <v>439</v>
      </c>
      <c r="B21" s="19" t="s">
        <v>440</v>
      </c>
      <c r="C21" s="19" t="s">
        <v>101</v>
      </c>
      <c r="D21" s="19" t="s">
        <v>441</v>
      </c>
      <c r="E21" s="19" t="s">
        <v>442</v>
      </c>
      <c r="F21" s="19" t="s">
        <v>330</v>
      </c>
      <c r="G21" s="19" t="s">
        <v>443</v>
      </c>
      <c r="H21" s="18" t="s">
        <v>304</v>
      </c>
      <c r="I21" s="19" t="s">
        <v>444</v>
      </c>
      <c r="J21" s="19" t="s">
        <v>445</v>
      </c>
      <c r="K21" s="18" t="s">
        <v>446</v>
      </c>
      <c r="L21" s="22" t="s">
        <v>447</v>
      </c>
      <c r="M21" s="20" t="s">
        <v>304</v>
      </c>
      <c r="N21" s="20" t="s">
        <v>305</v>
      </c>
      <c r="O21" s="22"/>
    </row>
    <row r="22" customFormat="false" ht="15" hidden="false" customHeight="false" outlineLevel="0" collapsed="false">
      <c r="A22" s="18" t="s">
        <v>448</v>
      </c>
      <c r="B22" s="19" t="s">
        <v>449</v>
      </c>
      <c r="C22" s="19" t="s">
        <v>101</v>
      </c>
      <c r="D22" s="19" t="s">
        <v>450</v>
      </c>
      <c r="E22" s="19" t="s">
        <v>451</v>
      </c>
      <c r="F22" s="19" t="s">
        <v>330</v>
      </c>
      <c r="G22" s="19" t="s">
        <v>452</v>
      </c>
      <c r="H22" s="18" t="s">
        <v>304</v>
      </c>
      <c r="I22" s="19" t="s">
        <v>453</v>
      </c>
      <c r="J22" s="19" t="s">
        <v>454</v>
      </c>
      <c r="K22" s="18" t="s">
        <v>446</v>
      </c>
      <c r="L22" s="22" t="s">
        <v>447</v>
      </c>
      <c r="M22" s="20" t="s">
        <v>304</v>
      </c>
      <c r="N22" s="20" t="s">
        <v>305</v>
      </c>
      <c r="O22" s="22"/>
    </row>
    <row r="23" customFormat="false" ht="23.85" hidden="false" customHeight="false" outlineLevel="0" collapsed="false">
      <c r="A23" s="18" t="s">
        <v>455</v>
      </c>
      <c r="B23" s="19" t="s">
        <v>456</v>
      </c>
      <c r="C23" s="19" t="s">
        <v>457</v>
      </c>
      <c r="D23" s="19" t="s">
        <v>458</v>
      </c>
      <c r="E23" s="19" t="s">
        <v>359</v>
      </c>
      <c r="F23" s="19" t="s">
        <v>459</v>
      </c>
      <c r="G23" s="19" t="s">
        <v>460</v>
      </c>
      <c r="H23" s="18" t="s">
        <v>304</v>
      </c>
      <c r="I23" s="19" t="s">
        <v>353</v>
      </c>
      <c r="J23" s="19" t="s">
        <v>461</v>
      </c>
      <c r="K23" s="18" t="s">
        <v>462</v>
      </c>
      <c r="L23" s="22" t="s">
        <v>463</v>
      </c>
      <c r="M23" s="20" t="s">
        <v>304</v>
      </c>
      <c r="N23" s="20" t="s">
        <v>305</v>
      </c>
      <c r="O23" s="22"/>
    </row>
    <row r="24" customFormat="false" ht="23.85" hidden="false" customHeight="false" outlineLevel="0" collapsed="false">
      <c r="A24" s="18" t="s">
        <v>464</v>
      </c>
      <c r="B24" s="19" t="s">
        <v>465</v>
      </c>
      <c r="C24" s="19" t="s">
        <v>101</v>
      </c>
      <c r="D24" s="19" t="s">
        <v>466</v>
      </c>
      <c r="E24" s="19" t="s">
        <v>368</v>
      </c>
      <c r="F24" s="19" t="s">
        <v>467</v>
      </c>
      <c r="G24" s="19" t="s">
        <v>468</v>
      </c>
      <c r="H24" s="18" t="s">
        <v>304</v>
      </c>
      <c r="I24" s="19" t="s">
        <v>469</v>
      </c>
      <c r="J24" s="19" t="s">
        <v>470</v>
      </c>
      <c r="K24" s="18" t="s">
        <v>446</v>
      </c>
      <c r="L24" s="22" t="s">
        <v>447</v>
      </c>
      <c r="M24" s="20" t="s">
        <v>304</v>
      </c>
      <c r="N24" s="20" t="s">
        <v>305</v>
      </c>
      <c r="O24" s="22"/>
    </row>
    <row r="25" customFormat="false" ht="23.85" hidden="false" customHeight="false" outlineLevel="0" collapsed="false">
      <c r="A25" s="18" t="s">
        <v>471</v>
      </c>
      <c r="B25" s="19" t="s">
        <v>472</v>
      </c>
      <c r="C25" s="19" t="s">
        <v>120</v>
      </c>
      <c r="D25" s="19" t="s">
        <v>473</v>
      </c>
      <c r="E25" s="19" t="s">
        <v>474</v>
      </c>
      <c r="F25" s="19" t="s">
        <v>330</v>
      </c>
      <c r="G25" s="19" t="s">
        <v>475</v>
      </c>
      <c r="H25" s="18" t="s">
        <v>341</v>
      </c>
      <c r="I25" s="19" t="s">
        <v>476</v>
      </c>
      <c r="J25" s="19" t="s">
        <v>477</v>
      </c>
      <c r="K25" s="18" t="s">
        <v>478</v>
      </c>
      <c r="L25" s="22" t="s">
        <v>479</v>
      </c>
      <c r="M25" s="20" t="s">
        <v>304</v>
      </c>
      <c r="N25" s="20" t="s">
        <v>305</v>
      </c>
      <c r="O25" s="22"/>
    </row>
    <row r="26" customFormat="false" ht="23.85" hidden="false" customHeight="false" outlineLevel="0" collapsed="false">
      <c r="A26" s="18" t="s">
        <v>480</v>
      </c>
      <c r="B26" s="19" t="s">
        <v>481</v>
      </c>
      <c r="C26" s="19" t="s">
        <v>276</v>
      </c>
      <c r="D26" s="19" t="s">
        <v>482</v>
      </c>
      <c r="E26" s="19" t="s">
        <v>483</v>
      </c>
      <c r="F26" s="19" t="s">
        <v>330</v>
      </c>
      <c r="G26" s="19" t="s">
        <v>484</v>
      </c>
      <c r="H26" s="18" t="s">
        <v>304</v>
      </c>
      <c r="I26" s="19" t="s">
        <v>312</v>
      </c>
      <c r="J26" s="19" t="s">
        <v>485</v>
      </c>
      <c r="K26" s="18"/>
      <c r="L26" s="22" t="s">
        <v>334</v>
      </c>
      <c r="M26" s="20" t="s">
        <v>304</v>
      </c>
      <c r="N26" s="20" t="s">
        <v>305</v>
      </c>
      <c r="O26" s="22"/>
    </row>
    <row r="27" customFormat="false" ht="23.85" hidden="false" customHeight="false" outlineLevel="0" collapsed="false">
      <c r="A27" s="18" t="s">
        <v>486</v>
      </c>
      <c r="B27" s="19" t="s">
        <v>487</v>
      </c>
      <c r="C27" s="19" t="s">
        <v>334</v>
      </c>
      <c r="D27" s="19" t="s">
        <v>488</v>
      </c>
      <c r="E27" s="19" t="s">
        <v>489</v>
      </c>
      <c r="F27" s="19" t="s">
        <v>330</v>
      </c>
      <c r="G27" s="19" t="s">
        <v>490</v>
      </c>
      <c r="H27" s="18" t="s">
        <v>304</v>
      </c>
      <c r="I27" s="19" t="s">
        <v>312</v>
      </c>
      <c r="J27" s="19" t="s">
        <v>491</v>
      </c>
      <c r="K27" s="18"/>
      <c r="L27" s="22" t="s">
        <v>334</v>
      </c>
      <c r="M27" s="20" t="s">
        <v>304</v>
      </c>
      <c r="N27" s="20" t="s">
        <v>305</v>
      </c>
      <c r="O27" s="22"/>
    </row>
    <row r="28" customFormat="false" ht="15" hidden="false" customHeight="false" outlineLevel="0" collapsed="false">
      <c r="A28" s="18" t="s">
        <v>492</v>
      </c>
      <c r="B28" s="19" t="s">
        <v>493</v>
      </c>
      <c r="C28" s="19" t="s">
        <v>494</v>
      </c>
      <c r="D28" s="19" t="s">
        <v>495</v>
      </c>
      <c r="E28" s="19" t="s">
        <v>496</v>
      </c>
      <c r="F28" s="19" t="s">
        <v>330</v>
      </c>
      <c r="G28" s="19" t="s">
        <v>497</v>
      </c>
      <c r="H28" s="18" t="s">
        <v>341</v>
      </c>
      <c r="I28" s="19" t="s">
        <v>312</v>
      </c>
      <c r="J28" s="19" t="s">
        <v>498</v>
      </c>
      <c r="K28" s="18" t="s">
        <v>499</v>
      </c>
      <c r="L28" s="22" t="s">
        <v>265</v>
      </c>
      <c r="M28" s="20" t="s">
        <v>304</v>
      </c>
      <c r="N28" s="20" t="s">
        <v>305</v>
      </c>
      <c r="O28" s="22"/>
    </row>
  </sheetData>
  <autoFilter ref="A4:O28"/>
  <mergeCells count="1">
    <mergeCell ref="A2:N2"/>
  </mergeCells>
  <conditionalFormatting sqref="H5:H58">
    <cfRule type="cellIs" priority="2" operator="equal" aboveAverage="0" equalAverage="0" bottom="0" percent="0" rank="0" text="" dxfId="17">
      <formula>"Statutory floor"</formula>
    </cfRule>
    <cfRule type="cellIs" priority="3" operator="equal" aboveAverage="0" equalAverage="0" bottom="0" percent="0" rank="0" text="" dxfId="13">
      <formula>"Stated in interview"</formula>
    </cfRule>
    <cfRule type="cellIs" priority="4" operator="equal" aboveAverage="0" equalAverage="0" bottom="0" percent="0" rank="0" text="" dxfId="18">
      <formula>"Proposed"</formula>
    </cfRule>
  </conditionalFormatting>
  <conditionalFormatting sqref="M5:M58">
    <cfRule type="cellIs" priority="5" operator="equal" aboveAverage="0" equalAverage="0" bottom="0" percent="0" rank="0" text="" dxfId="13">
      <formula>"Implemented"</formula>
    </cfRule>
  </conditionalFormatting>
  <dataValidations count="2">
    <dataValidation allowBlank="true" errorStyle="stop" operator="between" showDropDown="false" showErrorMessage="false" showInputMessage="false" sqref="M5:M58" type="list">
      <formula1>Lists!$H$4:$H$7</formula1>
      <formula2>0</formula2>
    </dataValidation>
    <dataValidation allowBlank="true" errorStyle="stop" operator="between" showDropDown="false" showErrorMessage="false" showInputMessage="false" sqref="N5:N58" type="list">
      <formula1>Lists!$D$4:$D$5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52"/>
    <col collapsed="false" customWidth="true" hidden="false" outlineLevel="0" max="3" min="3" style="0" width="20"/>
    <col collapsed="false" customWidth="true" hidden="false" outlineLevel="0" max="4" min="4" style="0" width="52"/>
    <col collapsed="false" customWidth="true" hidden="false" outlineLevel="0" max="5" min="5" style="0" width="46"/>
    <col collapsed="false" customWidth="true" hidden="false" outlineLevel="0" max="6" min="6" style="0" width="18"/>
  </cols>
  <sheetData>
    <row r="1" customFormat="false" ht="17.35" hidden="false" customHeight="false" outlineLevel="0" collapsed="false">
      <c r="A1" s="16" t="s">
        <v>500</v>
      </c>
    </row>
    <row r="2" customFormat="false" ht="48" hidden="false" customHeight="true" outlineLevel="0" collapsed="false">
      <c r="A2" s="26" t="s">
        <v>501</v>
      </c>
      <c r="B2" s="26"/>
      <c r="C2" s="26"/>
      <c r="D2" s="26"/>
      <c r="E2" s="26"/>
      <c r="F2" s="26"/>
    </row>
    <row r="4" customFormat="false" ht="31.5" hidden="false" customHeight="true" outlineLevel="0" collapsed="false">
      <c r="A4" s="17" t="s">
        <v>502</v>
      </c>
      <c r="B4" s="17" t="s">
        <v>503</v>
      </c>
      <c r="C4" s="17" t="s">
        <v>504</v>
      </c>
      <c r="D4" s="17" t="s">
        <v>505</v>
      </c>
      <c r="E4" s="17" t="s">
        <v>62</v>
      </c>
      <c r="F4" s="17" t="s">
        <v>506</v>
      </c>
    </row>
    <row r="5" customFormat="false" ht="35.05" hidden="false" customHeight="false" outlineLevel="0" collapsed="false">
      <c r="A5" s="19" t="s">
        <v>507</v>
      </c>
      <c r="B5" s="19" t="s">
        <v>508</v>
      </c>
      <c r="C5" s="19" t="s">
        <v>509</v>
      </c>
      <c r="D5" s="19" t="s">
        <v>510</v>
      </c>
      <c r="E5" s="19" t="s">
        <v>511</v>
      </c>
      <c r="F5" s="19" t="s">
        <v>512</v>
      </c>
    </row>
    <row r="6" customFormat="false" ht="57.45" hidden="false" customHeight="false" outlineLevel="0" collapsed="false">
      <c r="A6" s="19" t="s">
        <v>513</v>
      </c>
      <c r="B6" s="19" t="s">
        <v>514</v>
      </c>
      <c r="C6" s="19" t="s">
        <v>515</v>
      </c>
      <c r="D6" s="19" t="s">
        <v>516</v>
      </c>
      <c r="E6" s="19" t="s">
        <v>517</v>
      </c>
      <c r="F6" s="19" t="s">
        <v>518</v>
      </c>
    </row>
    <row r="7" customFormat="false" ht="35.05" hidden="false" customHeight="false" outlineLevel="0" collapsed="false">
      <c r="A7" s="19" t="s">
        <v>519</v>
      </c>
      <c r="B7" s="19" t="s">
        <v>520</v>
      </c>
      <c r="C7" s="19" t="s">
        <v>521</v>
      </c>
      <c r="D7" s="19" t="s">
        <v>522</v>
      </c>
      <c r="E7" s="19" t="s">
        <v>523</v>
      </c>
      <c r="F7" s="19" t="s">
        <v>512</v>
      </c>
    </row>
    <row r="8" customFormat="false" ht="46.25" hidden="false" customHeight="false" outlineLevel="0" collapsed="false">
      <c r="A8" s="19" t="s">
        <v>524</v>
      </c>
      <c r="B8" s="19" t="s">
        <v>525</v>
      </c>
      <c r="C8" s="19" t="s">
        <v>526</v>
      </c>
      <c r="D8" s="19" t="s">
        <v>527</v>
      </c>
      <c r="E8" s="19" t="s">
        <v>523</v>
      </c>
      <c r="F8" s="19" t="s">
        <v>528</v>
      </c>
    </row>
    <row r="9" customFormat="false" ht="35.05" hidden="false" customHeight="false" outlineLevel="0" collapsed="false">
      <c r="A9" s="19" t="s">
        <v>529</v>
      </c>
      <c r="B9" s="19" t="s">
        <v>530</v>
      </c>
      <c r="C9" s="19" t="s">
        <v>531</v>
      </c>
      <c r="D9" s="19" t="s">
        <v>532</v>
      </c>
      <c r="E9" s="19" t="s">
        <v>523</v>
      </c>
      <c r="F9" s="19" t="s">
        <v>512</v>
      </c>
    </row>
    <row r="10" customFormat="false" ht="23.85" hidden="false" customHeight="false" outlineLevel="0" collapsed="false">
      <c r="A10" s="19" t="s">
        <v>533</v>
      </c>
      <c r="B10" s="19" t="s">
        <v>534</v>
      </c>
      <c r="C10" s="19" t="s">
        <v>531</v>
      </c>
      <c r="D10" s="19" t="s">
        <v>535</v>
      </c>
      <c r="E10" s="19" t="s">
        <v>536</v>
      </c>
      <c r="F10" s="19" t="s">
        <v>512</v>
      </c>
    </row>
    <row r="11" customFormat="false" ht="57.45" hidden="false" customHeight="false" outlineLevel="0" collapsed="false">
      <c r="A11" s="19" t="s">
        <v>537</v>
      </c>
      <c r="B11" s="19" t="s">
        <v>538</v>
      </c>
      <c r="C11" s="19" t="s">
        <v>539</v>
      </c>
      <c r="D11" s="19" t="s">
        <v>540</v>
      </c>
      <c r="E11" s="19" t="s">
        <v>541</v>
      </c>
      <c r="F11" s="19" t="s">
        <v>542</v>
      </c>
    </row>
    <row r="12" customFormat="false" ht="23.85" hidden="false" customHeight="false" outlineLevel="0" collapsed="false">
      <c r="A12" s="19" t="s">
        <v>543</v>
      </c>
      <c r="B12" s="19" t="s">
        <v>544</v>
      </c>
      <c r="C12" s="19" t="s">
        <v>531</v>
      </c>
      <c r="D12" s="19" t="s">
        <v>545</v>
      </c>
      <c r="E12" s="19" t="s">
        <v>546</v>
      </c>
      <c r="F12" s="19" t="s">
        <v>512</v>
      </c>
    </row>
    <row r="13" customFormat="false" ht="23.85" hidden="false" customHeight="false" outlineLevel="0" collapsed="false">
      <c r="A13" s="19" t="s">
        <v>547</v>
      </c>
      <c r="B13" s="19" t="s">
        <v>548</v>
      </c>
      <c r="C13" s="19" t="s">
        <v>531</v>
      </c>
      <c r="D13" s="19" t="s">
        <v>549</v>
      </c>
      <c r="E13" s="19" t="s">
        <v>550</v>
      </c>
      <c r="F13" s="19" t="s">
        <v>512</v>
      </c>
    </row>
    <row r="14" customFormat="false" ht="35.05" hidden="false" customHeight="false" outlineLevel="0" collapsed="false">
      <c r="A14" s="19" t="s">
        <v>551</v>
      </c>
      <c r="B14" s="19" t="s">
        <v>552</v>
      </c>
      <c r="C14" s="19" t="s">
        <v>553</v>
      </c>
      <c r="D14" s="19" t="s">
        <v>554</v>
      </c>
      <c r="E14" s="19" t="s">
        <v>555</v>
      </c>
      <c r="F14" s="19" t="s">
        <v>556</v>
      </c>
    </row>
    <row r="15" customFormat="false" ht="46.25" hidden="false" customHeight="false" outlineLevel="0" collapsed="false">
      <c r="A15" s="19" t="s">
        <v>557</v>
      </c>
      <c r="B15" s="19" t="s">
        <v>558</v>
      </c>
      <c r="C15" s="19" t="s">
        <v>559</v>
      </c>
      <c r="D15" s="19" t="s">
        <v>560</v>
      </c>
      <c r="E15" s="19" t="s">
        <v>561</v>
      </c>
      <c r="F15" s="19" t="s">
        <v>562</v>
      </c>
    </row>
  </sheetData>
  <mergeCells count="1"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8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6"/>
    <col collapsed="false" customWidth="true" hidden="false" outlineLevel="0" max="4" min="3" style="0" width="28"/>
    <col collapsed="false" customWidth="true" hidden="false" outlineLevel="0" max="5" min="5" style="0" width="44"/>
    <col collapsed="false" customWidth="true" hidden="false" outlineLevel="0" max="6" min="6" style="0" width="36"/>
    <col collapsed="false" customWidth="true" hidden="false" outlineLevel="0" max="7" min="7" style="0" width="28"/>
    <col collapsed="false" customWidth="true" hidden="false" outlineLevel="0" max="9" min="8" style="0" width="30"/>
    <col collapsed="false" customWidth="true" hidden="false" outlineLevel="0" max="10" min="10" style="0" width="13"/>
    <col collapsed="false" customWidth="true" hidden="false" outlineLevel="0" max="11" min="11" style="0" width="28"/>
    <col collapsed="false" customWidth="true" hidden="false" outlineLevel="0" max="12" min="12" style="0" width="13"/>
    <col collapsed="false" customWidth="true" hidden="false" outlineLevel="0" max="13" min="13" style="0" width="18"/>
    <col collapsed="false" customWidth="true" hidden="false" outlineLevel="0" max="14" min="14" style="0" width="13"/>
    <col collapsed="false" customWidth="true" hidden="false" outlineLevel="0" max="15" min="15" style="0" width="16"/>
  </cols>
  <sheetData>
    <row r="1" customFormat="false" ht="17.35" hidden="false" customHeight="false" outlineLevel="0" collapsed="false">
      <c r="A1" s="16" t="s">
        <v>563</v>
      </c>
    </row>
    <row r="2" customFormat="false" ht="15" hidden="false" customHeight="false" outlineLevel="0" collapsed="false">
      <c r="A2" s="2" t="s">
        <v>564</v>
      </c>
    </row>
    <row r="4" customFormat="false" ht="31.5" hidden="false" customHeight="true" outlineLevel="0" collapsed="false">
      <c r="A4" s="17" t="s">
        <v>289</v>
      </c>
      <c r="B4" s="17" t="s">
        <v>57</v>
      </c>
      <c r="C4" s="17" t="s">
        <v>565</v>
      </c>
      <c r="D4" s="17" t="s">
        <v>282</v>
      </c>
      <c r="E4" s="17" t="s">
        <v>566</v>
      </c>
      <c r="F4" s="17" t="s">
        <v>567</v>
      </c>
      <c r="G4" s="17" t="s">
        <v>568</v>
      </c>
      <c r="H4" s="17" t="s">
        <v>569</v>
      </c>
      <c r="I4" s="17" t="s">
        <v>570</v>
      </c>
      <c r="J4" s="17" t="s">
        <v>23</v>
      </c>
      <c r="K4" s="17" t="s">
        <v>571</v>
      </c>
      <c r="L4" s="17" t="s">
        <v>572</v>
      </c>
      <c r="M4" s="17" t="s">
        <v>573</v>
      </c>
      <c r="N4" s="17" t="s">
        <v>574</v>
      </c>
      <c r="O4" s="17" t="s">
        <v>64</v>
      </c>
    </row>
    <row r="5" customFormat="false" ht="35.05" hidden="false" customHeight="false" outlineLevel="0" collapsed="false">
      <c r="A5" s="18" t="s">
        <v>324</v>
      </c>
      <c r="B5" s="19" t="s">
        <v>317</v>
      </c>
      <c r="C5" s="19" t="s">
        <v>575</v>
      </c>
      <c r="D5" s="19" t="s">
        <v>576</v>
      </c>
      <c r="E5" s="19" t="s">
        <v>577</v>
      </c>
      <c r="F5" s="19" t="s">
        <v>578</v>
      </c>
      <c r="G5" s="19" t="s">
        <v>579</v>
      </c>
      <c r="H5" s="19" t="s">
        <v>580</v>
      </c>
      <c r="I5" s="19" t="s">
        <v>581</v>
      </c>
      <c r="J5" s="18" t="s">
        <v>305</v>
      </c>
      <c r="K5" s="19" t="s">
        <v>582</v>
      </c>
      <c r="L5" s="18" t="s">
        <v>531</v>
      </c>
      <c r="M5" s="22"/>
      <c r="N5" s="27"/>
      <c r="O5" s="20" t="s">
        <v>583</v>
      </c>
    </row>
    <row r="6" customFormat="false" ht="23.85" hidden="false" customHeight="false" outlineLevel="0" collapsed="false">
      <c r="A6" s="18" t="s">
        <v>355</v>
      </c>
      <c r="B6" s="19" t="s">
        <v>87</v>
      </c>
      <c r="C6" s="19" t="s">
        <v>584</v>
      </c>
      <c r="D6" s="19" t="s">
        <v>349</v>
      </c>
      <c r="E6" s="19" t="s">
        <v>585</v>
      </c>
      <c r="F6" s="19" t="s">
        <v>586</v>
      </c>
      <c r="G6" s="19" t="s">
        <v>587</v>
      </c>
      <c r="H6" s="19" t="s">
        <v>588</v>
      </c>
      <c r="I6" s="19" t="s">
        <v>589</v>
      </c>
      <c r="J6" s="18" t="s">
        <v>590</v>
      </c>
      <c r="K6" s="19" t="s">
        <v>591</v>
      </c>
      <c r="L6" s="18" t="s">
        <v>592</v>
      </c>
      <c r="M6" s="22"/>
      <c r="N6" s="27"/>
      <c r="O6" s="20" t="s">
        <v>583</v>
      </c>
    </row>
    <row r="7" customFormat="false" ht="23.85" hidden="false" customHeight="false" outlineLevel="0" collapsed="false">
      <c r="A7" s="18" t="s">
        <v>593</v>
      </c>
      <c r="B7" s="19" t="s">
        <v>126</v>
      </c>
      <c r="C7" s="19" t="s">
        <v>594</v>
      </c>
      <c r="D7" s="19" t="s">
        <v>595</v>
      </c>
      <c r="E7" s="19" t="s">
        <v>596</v>
      </c>
      <c r="F7" s="19" t="s">
        <v>597</v>
      </c>
      <c r="G7" s="19" t="s">
        <v>587</v>
      </c>
      <c r="H7" s="19" t="s">
        <v>598</v>
      </c>
      <c r="I7" s="19" t="s">
        <v>599</v>
      </c>
      <c r="J7" s="18" t="s">
        <v>592</v>
      </c>
      <c r="K7" s="19" t="s">
        <v>600</v>
      </c>
      <c r="L7" s="18" t="s">
        <v>592</v>
      </c>
      <c r="M7" s="22"/>
      <c r="N7" s="27"/>
      <c r="O7" s="20" t="s">
        <v>583</v>
      </c>
    </row>
    <row r="8" customFormat="false" ht="23.85" hidden="false" customHeight="false" outlineLevel="0" collapsed="false">
      <c r="A8" s="18" t="s">
        <v>601</v>
      </c>
      <c r="B8" s="19" t="s">
        <v>79</v>
      </c>
      <c r="C8" s="19" t="s">
        <v>602</v>
      </c>
      <c r="D8" s="19" t="s">
        <v>603</v>
      </c>
      <c r="E8" s="19" t="s">
        <v>604</v>
      </c>
      <c r="F8" s="19" t="s">
        <v>605</v>
      </c>
      <c r="G8" s="19" t="s">
        <v>587</v>
      </c>
      <c r="H8" s="19" t="s">
        <v>606</v>
      </c>
      <c r="I8" s="19" t="s">
        <v>607</v>
      </c>
      <c r="J8" s="18" t="s">
        <v>305</v>
      </c>
      <c r="K8" s="19" t="s">
        <v>608</v>
      </c>
      <c r="L8" s="18" t="s">
        <v>531</v>
      </c>
      <c r="M8" s="22"/>
      <c r="N8" s="27"/>
      <c r="O8" s="20" t="s">
        <v>583</v>
      </c>
    </row>
    <row r="9" customFormat="false" ht="23.85" hidden="false" customHeight="false" outlineLevel="0" collapsed="false">
      <c r="A9" s="18" t="s">
        <v>391</v>
      </c>
      <c r="B9" s="19" t="s">
        <v>83</v>
      </c>
      <c r="C9" s="19" t="s">
        <v>609</v>
      </c>
      <c r="D9" s="19" t="s">
        <v>610</v>
      </c>
      <c r="E9" s="19" t="s">
        <v>611</v>
      </c>
      <c r="F9" s="19" t="s">
        <v>612</v>
      </c>
      <c r="G9" s="19" t="s">
        <v>613</v>
      </c>
      <c r="H9" s="19" t="s">
        <v>614</v>
      </c>
      <c r="I9" s="19" t="s">
        <v>615</v>
      </c>
      <c r="J9" s="18" t="s">
        <v>592</v>
      </c>
      <c r="K9" s="19" t="s">
        <v>616</v>
      </c>
      <c r="L9" s="18" t="s">
        <v>531</v>
      </c>
      <c r="M9" s="22"/>
      <c r="N9" s="27"/>
      <c r="O9" s="20" t="s">
        <v>583</v>
      </c>
    </row>
    <row r="10" customFormat="false" ht="23.85" hidden="false" customHeight="false" outlineLevel="0" collapsed="false">
      <c r="A10" s="18" t="s">
        <v>499</v>
      </c>
      <c r="B10" s="19" t="s">
        <v>164</v>
      </c>
      <c r="C10" s="19" t="s">
        <v>617</v>
      </c>
      <c r="D10" s="19" t="s">
        <v>618</v>
      </c>
      <c r="E10" s="19" t="s">
        <v>619</v>
      </c>
      <c r="F10" s="19" t="s">
        <v>620</v>
      </c>
      <c r="G10" s="19" t="s">
        <v>621</v>
      </c>
      <c r="H10" s="19" t="s">
        <v>622</v>
      </c>
      <c r="I10" s="19" t="s">
        <v>623</v>
      </c>
      <c r="J10" s="18" t="s">
        <v>305</v>
      </c>
      <c r="K10" s="19" t="s">
        <v>624</v>
      </c>
      <c r="L10" s="18" t="s">
        <v>592</v>
      </c>
      <c r="M10" s="22"/>
      <c r="N10" s="27"/>
      <c r="O10" s="20" t="s">
        <v>583</v>
      </c>
    </row>
    <row r="11" customFormat="false" ht="23.85" hidden="false" customHeight="false" outlineLevel="0" collapsed="false">
      <c r="A11" s="18" t="s">
        <v>400</v>
      </c>
      <c r="B11" s="19" t="s">
        <v>152</v>
      </c>
      <c r="C11" s="19" t="s">
        <v>625</v>
      </c>
      <c r="D11" s="19" t="s">
        <v>626</v>
      </c>
      <c r="E11" s="19" t="s">
        <v>627</v>
      </c>
      <c r="F11" s="19" t="s">
        <v>628</v>
      </c>
      <c r="G11" s="19" t="s">
        <v>629</v>
      </c>
      <c r="H11" s="19" t="s">
        <v>630</v>
      </c>
      <c r="I11" s="19" t="s">
        <v>631</v>
      </c>
      <c r="J11" s="18" t="s">
        <v>531</v>
      </c>
      <c r="K11" s="19" t="s">
        <v>632</v>
      </c>
      <c r="L11" s="18" t="s">
        <v>592</v>
      </c>
      <c r="M11" s="22"/>
      <c r="N11" s="27"/>
      <c r="O11" s="20" t="s">
        <v>583</v>
      </c>
    </row>
    <row r="12" customFormat="false" ht="23.85" hidden="false" customHeight="false" outlineLevel="0" collapsed="false">
      <c r="A12" s="18" t="s">
        <v>478</v>
      </c>
      <c r="B12" s="19" t="s">
        <v>120</v>
      </c>
      <c r="C12" s="19" t="s">
        <v>633</v>
      </c>
      <c r="D12" s="19" t="s">
        <v>634</v>
      </c>
      <c r="E12" s="19" t="s">
        <v>635</v>
      </c>
      <c r="F12" s="19" t="s">
        <v>636</v>
      </c>
      <c r="G12" s="19" t="s">
        <v>621</v>
      </c>
      <c r="H12" s="19" t="s">
        <v>637</v>
      </c>
      <c r="I12" s="19" t="s">
        <v>638</v>
      </c>
      <c r="J12" s="18" t="s">
        <v>592</v>
      </c>
      <c r="K12" s="19" t="s">
        <v>639</v>
      </c>
      <c r="L12" s="18" t="s">
        <v>592</v>
      </c>
      <c r="M12" s="22"/>
      <c r="N12" s="27"/>
      <c r="O12" s="20" t="s">
        <v>583</v>
      </c>
    </row>
    <row r="13" customFormat="false" ht="23.85" hidden="false" customHeight="false" outlineLevel="0" collapsed="false">
      <c r="A13" s="18" t="s">
        <v>640</v>
      </c>
      <c r="B13" s="19" t="s">
        <v>132</v>
      </c>
      <c r="C13" s="19" t="s">
        <v>641</v>
      </c>
      <c r="D13" s="19" t="s">
        <v>642</v>
      </c>
      <c r="E13" s="19" t="s">
        <v>643</v>
      </c>
      <c r="F13" s="19" t="s">
        <v>644</v>
      </c>
      <c r="G13" s="19" t="s">
        <v>645</v>
      </c>
      <c r="H13" s="19" t="s">
        <v>646</v>
      </c>
      <c r="I13" s="19" t="s">
        <v>647</v>
      </c>
      <c r="J13" s="18" t="s">
        <v>305</v>
      </c>
      <c r="K13" s="19" t="s">
        <v>648</v>
      </c>
      <c r="L13" s="18" t="s">
        <v>592</v>
      </c>
      <c r="M13" s="22"/>
      <c r="N13" s="27"/>
      <c r="O13" s="20" t="s">
        <v>583</v>
      </c>
    </row>
    <row r="14" customFormat="false" ht="23.85" hidden="false" customHeight="false" outlineLevel="0" collapsed="false">
      <c r="A14" s="18" t="s">
        <v>314</v>
      </c>
      <c r="B14" s="19" t="s">
        <v>105</v>
      </c>
      <c r="C14" s="19" t="s">
        <v>649</v>
      </c>
      <c r="D14" s="19" t="s">
        <v>650</v>
      </c>
      <c r="E14" s="19" t="s">
        <v>651</v>
      </c>
      <c r="F14" s="19" t="s">
        <v>652</v>
      </c>
      <c r="G14" s="19" t="s">
        <v>653</v>
      </c>
      <c r="H14" s="19" t="s">
        <v>654</v>
      </c>
      <c r="I14" s="19" t="s">
        <v>655</v>
      </c>
      <c r="J14" s="18" t="s">
        <v>305</v>
      </c>
      <c r="K14" s="19" t="s">
        <v>656</v>
      </c>
      <c r="L14" s="18" t="s">
        <v>531</v>
      </c>
      <c r="M14" s="22"/>
      <c r="N14" s="27"/>
      <c r="O14" s="20" t="s">
        <v>583</v>
      </c>
    </row>
    <row r="15" customFormat="false" ht="35.05" hidden="false" customHeight="false" outlineLevel="0" collapsed="false">
      <c r="A15" s="18" t="s">
        <v>415</v>
      </c>
      <c r="B15" s="19" t="s">
        <v>97</v>
      </c>
      <c r="C15" s="19" t="s">
        <v>657</v>
      </c>
      <c r="D15" s="19" t="s">
        <v>658</v>
      </c>
      <c r="E15" s="19" t="s">
        <v>659</v>
      </c>
      <c r="F15" s="19" t="s">
        <v>660</v>
      </c>
      <c r="G15" s="19" t="s">
        <v>661</v>
      </c>
      <c r="H15" s="19" t="s">
        <v>662</v>
      </c>
      <c r="I15" s="19" t="s">
        <v>663</v>
      </c>
      <c r="J15" s="18" t="s">
        <v>592</v>
      </c>
      <c r="K15" s="19" t="s">
        <v>664</v>
      </c>
      <c r="L15" s="18" t="s">
        <v>531</v>
      </c>
      <c r="M15" s="22"/>
      <c r="N15" s="27"/>
      <c r="O15" s="20" t="s">
        <v>583</v>
      </c>
    </row>
    <row r="16" customFormat="false" ht="23.85" hidden="false" customHeight="false" outlineLevel="0" collapsed="false">
      <c r="A16" s="18" t="s">
        <v>446</v>
      </c>
      <c r="B16" s="19" t="s">
        <v>101</v>
      </c>
      <c r="C16" s="19" t="s">
        <v>665</v>
      </c>
      <c r="D16" s="19" t="s">
        <v>666</v>
      </c>
      <c r="E16" s="19" t="s">
        <v>667</v>
      </c>
      <c r="F16" s="19" t="s">
        <v>668</v>
      </c>
      <c r="G16" s="19" t="s">
        <v>669</v>
      </c>
      <c r="H16" s="19" t="s">
        <v>670</v>
      </c>
      <c r="I16" s="19" t="s">
        <v>671</v>
      </c>
      <c r="J16" s="18" t="s">
        <v>305</v>
      </c>
      <c r="K16" s="19" t="s">
        <v>672</v>
      </c>
      <c r="L16" s="18" t="s">
        <v>531</v>
      </c>
      <c r="M16" s="22"/>
      <c r="N16" s="27"/>
      <c r="O16" s="20" t="s">
        <v>583</v>
      </c>
    </row>
    <row r="18" customFormat="false" ht="15" hidden="false" customHeight="false" outlineLevel="0" collapsed="false">
      <c r="A18" s="2" t="s">
        <v>673</v>
      </c>
    </row>
  </sheetData>
  <autoFilter ref="A4:O16"/>
  <dataValidations count="1">
    <dataValidation allowBlank="true" errorStyle="stop" operator="between" showDropDown="false" showErrorMessage="false" showInputMessage="false" sqref="O5:O30" type="list">
      <formula1>Lists!$F$4:$F$6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9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3" min="2" style="0" width="14"/>
    <col collapsed="false" customWidth="true" hidden="false" outlineLevel="0" max="4" min="4" style="0" width="8"/>
    <col collapsed="false" customWidth="true" hidden="false" outlineLevel="0" max="6" min="5" style="0" width="10"/>
    <col collapsed="false" customWidth="true" hidden="false" outlineLevel="0" max="7" min="7" style="0" width="18"/>
    <col collapsed="false" customWidth="true" hidden="false" outlineLevel="0" max="9" min="8" style="0" width="16"/>
    <col collapsed="false" customWidth="true" hidden="false" outlineLevel="0" max="10" min="10" style="0" width="70"/>
  </cols>
  <sheetData>
    <row r="1" customFormat="false" ht="17.35" hidden="false" customHeight="false" outlineLevel="0" collapsed="false">
      <c r="A1" s="16" t="s">
        <v>674</v>
      </c>
    </row>
    <row r="2" customFormat="false" ht="15" hidden="false" customHeight="false" outlineLevel="0" collapsed="false">
      <c r="A2" s="2" t="s">
        <v>675</v>
      </c>
    </row>
    <row r="4" customFormat="false" ht="31.5" hidden="false" customHeight="true" outlineLevel="0" collapsed="false">
      <c r="A4" s="17" t="s">
        <v>57</v>
      </c>
      <c r="B4" s="17" t="s">
        <v>676</v>
      </c>
      <c r="C4" s="17" t="s">
        <v>677</v>
      </c>
      <c r="D4" s="17" t="s">
        <v>678</v>
      </c>
      <c r="E4" s="17" t="s">
        <v>679</v>
      </c>
      <c r="F4" s="17" t="s">
        <v>240</v>
      </c>
      <c r="G4" s="17" t="s">
        <v>680</v>
      </c>
      <c r="H4" s="17" t="s">
        <v>681</v>
      </c>
      <c r="I4" s="17" t="s">
        <v>682</v>
      </c>
      <c r="J4" s="17" t="s">
        <v>683</v>
      </c>
    </row>
    <row r="5" customFormat="false" ht="23.85" hidden="false" customHeight="false" outlineLevel="0" collapsed="false">
      <c r="A5" s="19" t="s">
        <v>69</v>
      </c>
      <c r="B5" s="21" t="n">
        <v>46303</v>
      </c>
      <c r="C5" s="20" t="s">
        <v>38</v>
      </c>
      <c r="D5" s="18" t="n">
        <f aca="false">COUNTIFS('Gap Register'!$B$5:$B$300,A5,'Gap Register'!$E$5:$E$300,"Gap")</f>
        <v>8</v>
      </c>
      <c r="E5" s="18" t="n">
        <f aca="false">COUNTIFS('Gap Register'!$B$5:$B$300,A5,'Gap Register'!$E$5:$E$300,"Verify")</f>
        <v>0</v>
      </c>
      <c r="F5" s="18" t="n">
        <f aca="false">COUNTIFS('Gap Register'!$B$5:$B$300,A5,'Gap Register'!$J$5:$J$300,"&lt;&gt;Closed")</f>
        <v>8</v>
      </c>
      <c r="G5" s="18" t="s">
        <v>684</v>
      </c>
      <c r="H5" s="20" t="s">
        <v>305</v>
      </c>
      <c r="I5" s="20" t="s">
        <v>305</v>
      </c>
      <c r="J5" s="19" t="s">
        <v>685</v>
      </c>
    </row>
    <row r="6" customFormat="false" ht="15" hidden="false" customHeight="false" outlineLevel="0" collapsed="false">
      <c r="A6" s="19" t="s">
        <v>75</v>
      </c>
      <c r="B6" s="21" t="n">
        <v>46303</v>
      </c>
      <c r="C6" s="20" t="s">
        <v>38</v>
      </c>
      <c r="D6" s="18" t="n">
        <f aca="false">COUNTIFS('Gap Register'!$B$5:$B$300,A6,'Gap Register'!$E$5:$E$300,"Gap")</f>
        <v>3</v>
      </c>
      <c r="E6" s="18" t="n">
        <f aca="false">COUNTIFS('Gap Register'!$B$5:$B$300,A6,'Gap Register'!$E$5:$E$300,"Verify")</f>
        <v>3</v>
      </c>
      <c r="F6" s="18" t="n">
        <f aca="false">COUNTIFS('Gap Register'!$B$5:$B$300,A6,'Gap Register'!$J$5:$J$300,"&lt;&gt;Closed")</f>
        <v>6</v>
      </c>
      <c r="G6" s="18" t="s">
        <v>686</v>
      </c>
      <c r="H6" s="20" t="s">
        <v>305</v>
      </c>
      <c r="I6" s="20" t="s">
        <v>305</v>
      </c>
      <c r="J6" s="19" t="s">
        <v>687</v>
      </c>
    </row>
    <row r="7" customFormat="false" ht="23.85" hidden="false" customHeight="false" outlineLevel="0" collapsed="false">
      <c r="A7" s="19" t="s">
        <v>97</v>
      </c>
      <c r="B7" s="21" t="n">
        <v>46309</v>
      </c>
      <c r="C7" s="20" t="s">
        <v>39</v>
      </c>
      <c r="D7" s="18" t="n">
        <f aca="false">COUNTIFS('Gap Register'!$B$5:$B$300,A7,'Gap Register'!$E$5:$E$300,"Gap")</f>
        <v>4</v>
      </c>
      <c r="E7" s="18" t="n">
        <f aca="false">COUNTIFS('Gap Register'!$B$5:$B$300,A7,'Gap Register'!$E$5:$E$300,"Verify")</f>
        <v>1</v>
      </c>
      <c r="F7" s="18" t="n">
        <f aca="false">COUNTIFS('Gap Register'!$B$5:$B$300,A7,'Gap Register'!$J$5:$J$300,"&lt;&gt;Closed")</f>
        <v>5</v>
      </c>
      <c r="G7" s="18" t="s">
        <v>686</v>
      </c>
      <c r="H7" s="20" t="s">
        <v>305</v>
      </c>
      <c r="I7" s="20" t="s">
        <v>305</v>
      </c>
      <c r="J7" s="19" t="s">
        <v>688</v>
      </c>
    </row>
    <row r="8" customFormat="false" ht="23.85" hidden="false" customHeight="false" outlineLevel="0" collapsed="false">
      <c r="A8" s="19" t="s">
        <v>79</v>
      </c>
      <c r="B8" s="21" t="n">
        <v>46308</v>
      </c>
      <c r="C8" s="20" t="s">
        <v>39</v>
      </c>
      <c r="D8" s="18" t="n">
        <f aca="false">COUNTIFS('Gap Register'!$B$5:$B$300,A8,'Gap Register'!$E$5:$E$300,"Gap")</f>
        <v>4</v>
      </c>
      <c r="E8" s="18" t="n">
        <f aca="false">COUNTIFS('Gap Register'!$B$5:$B$300,A8,'Gap Register'!$E$5:$E$300,"Verify")</f>
        <v>0</v>
      </c>
      <c r="F8" s="18" t="n">
        <f aca="false">COUNTIFS('Gap Register'!$B$5:$B$300,A8,'Gap Register'!$J$5:$J$300,"&lt;&gt;Closed")</f>
        <v>4</v>
      </c>
      <c r="G8" s="18" t="s">
        <v>686</v>
      </c>
      <c r="H8" s="20" t="s">
        <v>305</v>
      </c>
      <c r="I8" s="20" t="s">
        <v>305</v>
      </c>
      <c r="J8" s="19" t="s">
        <v>689</v>
      </c>
    </row>
    <row r="9" customFormat="false" ht="15" hidden="false" customHeight="false" outlineLevel="0" collapsed="false">
      <c r="A9" s="19" t="s">
        <v>83</v>
      </c>
      <c r="B9" s="21" t="n">
        <v>46308</v>
      </c>
      <c r="C9" s="20" t="s">
        <v>39</v>
      </c>
      <c r="D9" s="18" t="n">
        <f aca="false">COUNTIFS('Gap Register'!$B$5:$B$300,A9,'Gap Register'!$E$5:$E$300,"Gap")</f>
        <v>5</v>
      </c>
      <c r="E9" s="18" t="n">
        <f aca="false">COUNTIFS('Gap Register'!$B$5:$B$300,A9,'Gap Register'!$E$5:$E$300,"Verify")</f>
        <v>1</v>
      </c>
      <c r="F9" s="18" t="n">
        <f aca="false">COUNTIFS('Gap Register'!$B$5:$B$300,A9,'Gap Register'!$J$5:$J$300,"&lt;&gt;Closed")</f>
        <v>6</v>
      </c>
      <c r="G9" s="18" t="s">
        <v>686</v>
      </c>
      <c r="H9" s="20" t="s">
        <v>305</v>
      </c>
      <c r="I9" s="20" t="s">
        <v>305</v>
      </c>
      <c r="J9" s="19" t="s">
        <v>690</v>
      </c>
    </row>
    <row r="10" customFormat="false" ht="15" hidden="false" customHeight="false" outlineLevel="0" collapsed="false">
      <c r="A10" s="19" t="s">
        <v>87</v>
      </c>
      <c r="B10" s="21" t="n">
        <v>46307</v>
      </c>
      <c r="C10" s="20" t="s">
        <v>39</v>
      </c>
      <c r="D10" s="18" t="n">
        <f aca="false">COUNTIFS('Gap Register'!$B$5:$B$300,A10,'Gap Register'!$E$5:$E$300,"Gap")</f>
        <v>1</v>
      </c>
      <c r="E10" s="18" t="n">
        <f aca="false">COUNTIFS('Gap Register'!$B$5:$B$300,A10,'Gap Register'!$E$5:$E$300,"Verify")</f>
        <v>1</v>
      </c>
      <c r="F10" s="18" t="n">
        <f aca="false">COUNTIFS('Gap Register'!$B$5:$B$300,A10,'Gap Register'!$J$5:$J$300,"&lt;&gt;Closed")</f>
        <v>2</v>
      </c>
      <c r="G10" s="18" t="s">
        <v>686</v>
      </c>
      <c r="H10" s="20" t="s">
        <v>305</v>
      </c>
      <c r="I10" s="20" t="s">
        <v>305</v>
      </c>
      <c r="J10" s="19" t="s">
        <v>691</v>
      </c>
    </row>
    <row r="11" customFormat="false" ht="15" hidden="false" customHeight="false" outlineLevel="0" collapsed="false">
      <c r="A11" s="19" t="s">
        <v>152</v>
      </c>
      <c r="B11" s="21" t="n">
        <v>46307</v>
      </c>
      <c r="C11" s="20" t="s">
        <v>39</v>
      </c>
      <c r="D11" s="18" t="n">
        <f aca="false">COUNTIFS('Gap Register'!$B$5:$B$300,A11,'Gap Register'!$E$5:$E$300,"Gap")</f>
        <v>1</v>
      </c>
      <c r="E11" s="18" t="n">
        <f aca="false">COUNTIFS('Gap Register'!$B$5:$B$300,A11,'Gap Register'!$E$5:$E$300,"Verify")</f>
        <v>3</v>
      </c>
      <c r="F11" s="18" t="n">
        <f aca="false">COUNTIFS('Gap Register'!$B$5:$B$300,A11,'Gap Register'!$J$5:$J$300,"&lt;&gt;Closed")</f>
        <v>4</v>
      </c>
      <c r="G11" s="18" t="s">
        <v>692</v>
      </c>
      <c r="H11" s="20" t="s">
        <v>305</v>
      </c>
      <c r="I11" s="20" t="s">
        <v>305</v>
      </c>
      <c r="J11" s="19" t="s">
        <v>693</v>
      </c>
    </row>
    <row r="12" customFormat="false" ht="23.85" hidden="false" customHeight="false" outlineLevel="0" collapsed="false">
      <c r="A12" s="19" t="s">
        <v>101</v>
      </c>
      <c r="B12" s="21" t="n">
        <v>46309</v>
      </c>
      <c r="C12" s="20" t="s">
        <v>39</v>
      </c>
      <c r="D12" s="18" t="n">
        <f aca="false">COUNTIFS('Gap Register'!$B$5:$B$300,A12,'Gap Register'!$E$5:$E$300,"Gap")</f>
        <v>4</v>
      </c>
      <c r="E12" s="18" t="n">
        <f aca="false">COUNTIFS('Gap Register'!$B$5:$B$300,A12,'Gap Register'!$E$5:$E$300,"Verify")</f>
        <v>1</v>
      </c>
      <c r="F12" s="18" t="n">
        <f aca="false">COUNTIFS('Gap Register'!$B$5:$B$300,A12,'Gap Register'!$J$5:$J$300,"&lt;&gt;Closed")</f>
        <v>5</v>
      </c>
      <c r="G12" s="18" t="s">
        <v>686</v>
      </c>
      <c r="H12" s="20" t="s">
        <v>305</v>
      </c>
      <c r="I12" s="20" t="s">
        <v>305</v>
      </c>
      <c r="J12" s="19" t="s">
        <v>694</v>
      </c>
    </row>
    <row r="13" customFormat="false" ht="15" hidden="false" customHeight="false" outlineLevel="0" collapsed="false">
      <c r="A13" s="19" t="s">
        <v>120</v>
      </c>
      <c r="B13" s="21" t="n">
        <v>46303</v>
      </c>
      <c r="C13" s="20" t="s">
        <v>40</v>
      </c>
      <c r="D13" s="18" t="n">
        <f aca="false">COUNTIFS('Gap Register'!$B$5:$B$300,A13,'Gap Register'!$E$5:$E$300,"Gap")</f>
        <v>2</v>
      </c>
      <c r="E13" s="18" t="n">
        <f aca="false">COUNTIFS('Gap Register'!$B$5:$B$300,A13,'Gap Register'!$E$5:$E$300,"Verify")</f>
        <v>2</v>
      </c>
      <c r="F13" s="18" t="n">
        <f aca="false">COUNTIFS('Gap Register'!$B$5:$B$300,A13,'Gap Register'!$J$5:$J$300,"&lt;&gt;Closed")</f>
        <v>4</v>
      </c>
      <c r="G13" s="18" t="s">
        <v>684</v>
      </c>
      <c r="H13" s="20" t="s">
        <v>305</v>
      </c>
      <c r="I13" s="20" t="s">
        <v>305</v>
      </c>
      <c r="J13" s="19" t="s">
        <v>695</v>
      </c>
    </row>
    <row r="14" customFormat="false" ht="15" hidden="false" customHeight="false" outlineLevel="0" collapsed="false">
      <c r="A14" s="19" t="s">
        <v>105</v>
      </c>
      <c r="B14" s="21" t="n">
        <v>46309</v>
      </c>
      <c r="C14" s="20" t="s">
        <v>40</v>
      </c>
      <c r="D14" s="18" t="n">
        <f aca="false">COUNTIFS('Gap Register'!$B$5:$B$300,A14,'Gap Register'!$E$5:$E$300,"Gap")</f>
        <v>2</v>
      </c>
      <c r="E14" s="18" t="n">
        <f aca="false">COUNTIFS('Gap Register'!$B$5:$B$300,A14,'Gap Register'!$E$5:$E$300,"Verify")</f>
        <v>4</v>
      </c>
      <c r="F14" s="18" t="n">
        <f aca="false">COUNTIFS('Gap Register'!$B$5:$B$300,A14,'Gap Register'!$J$5:$J$300,"&lt;&gt;Closed")</f>
        <v>6</v>
      </c>
      <c r="G14" s="18" t="s">
        <v>684</v>
      </c>
      <c r="H14" s="20" t="s">
        <v>305</v>
      </c>
      <c r="I14" s="20" t="s">
        <v>305</v>
      </c>
      <c r="J14" s="19" t="s">
        <v>696</v>
      </c>
    </row>
    <row r="15" customFormat="false" ht="15" hidden="false" customHeight="false" outlineLevel="0" collapsed="false">
      <c r="A15" s="19" t="s">
        <v>132</v>
      </c>
      <c r="B15" s="21" t="n">
        <v>46304</v>
      </c>
      <c r="C15" s="20" t="s">
        <v>40</v>
      </c>
      <c r="D15" s="18" t="n">
        <f aca="false">COUNTIFS('Gap Register'!$B$5:$B$300,A15,'Gap Register'!$E$5:$E$300,"Gap")</f>
        <v>1</v>
      </c>
      <c r="E15" s="18" t="n">
        <f aca="false">COUNTIFS('Gap Register'!$B$5:$B$300,A15,'Gap Register'!$E$5:$E$300,"Verify")</f>
        <v>2</v>
      </c>
      <c r="F15" s="18" t="n">
        <f aca="false">COUNTIFS('Gap Register'!$B$5:$B$300,A15,'Gap Register'!$J$5:$J$300,"&lt;&gt;Closed")</f>
        <v>3</v>
      </c>
      <c r="G15" s="18" t="s">
        <v>692</v>
      </c>
      <c r="H15" s="20" t="s">
        <v>305</v>
      </c>
      <c r="I15" s="20" t="s">
        <v>305</v>
      </c>
      <c r="J15" s="19" t="s">
        <v>697</v>
      </c>
    </row>
    <row r="16" customFormat="false" ht="15" hidden="false" customHeight="false" outlineLevel="0" collapsed="false">
      <c r="A16" s="19" t="s">
        <v>126</v>
      </c>
      <c r="B16" s="21" t="n">
        <v>46307</v>
      </c>
      <c r="C16" s="20" t="s">
        <v>40</v>
      </c>
      <c r="D16" s="18" t="n">
        <f aca="false">COUNTIFS('Gap Register'!$B$5:$B$300,A16,'Gap Register'!$E$5:$E$300,"Gap")</f>
        <v>1</v>
      </c>
      <c r="E16" s="18" t="n">
        <f aca="false">COUNTIFS('Gap Register'!$B$5:$B$300,A16,'Gap Register'!$E$5:$E$300,"Verify")</f>
        <v>3</v>
      </c>
      <c r="F16" s="18" t="n">
        <f aca="false">COUNTIFS('Gap Register'!$B$5:$B$300,A16,'Gap Register'!$J$5:$J$300,"&lt;&gt;Closed")</f>
        <v>4</v>
      </c>
      <c r="G16" s="18" t="s">
        <v>692</v>
      </c>
      <c r="H16" s="20" t="s">
        <v>305</v>
      </c>
      <c r="I16" s="20" t="s">
        <v>305</v>
      </c>
      <c r="J16" s="19" t="s">
        <v>698</v>
      </c>
    </row>
    <row r="17" customFormat="false" ht="15" hidden="false" customHeight="false" outlineLevel="0" collapsed="false">
      <c r="A17" s="19" t="s">
        <v>164</v>
      </c>
      <c r="B17" s="21" t="n">
        <v>46307</v>
      </c>
      <c r="C17" s="20" t="s">
        <v>41</v>
      </c>
      <c r="D17" s="18" t="n">
        <f aca="false">COUNTIFS('Gap Register'!$B$5:$B$300,A17,'Gap Register'!$E$5:$E$300,"Gap")</f>
        <v>0</v>
      </c>
      <c r="E17" s="18" t="n">
        <f aca="false">COUNTIFS('Gap Register'!$B$5:$B$300,A17,'Gap Register'!$E$5:$E$300,"Verify")</f>
        <v>1</v>
      </c>
      <c r="F17" s="18" t="n">
        <f aca="false">COUNTIFS('Gap Register'!$B$5:$B$300,A17,'Gap Register'!$J$5:$J$300,"&lt;&gt;Closed")</f>
        <v>1</v>
      </c>
      <c r="G17" s="18" t="s">
        <v>686</v>
      </c>
      <c r="H17" s="20" t="s">
        <v>305</v>
      </c>
      <c r="I17" s="20" t="s">
        <v>305</v>
      </c>
      <c r="J17" s="19" t="s">
        <v>699</v>
      </c>
    </row>
    <row r="19" customFormat="false" ht="15" hidden="false" customHeight="false" outlineLevel="0" collapsed="false">
      <c r="A19" s="3" t="s">
        <v>35</v>
      </c>
      <c r="D19" s="14" t="n">
        <f aca="false">SUM(D5:D17)</f>
        <v>36</v>
      </c>
      <c r="E19" s="14" t="n">
        <f aca="false">SUM(E5:E17)</f>
        <v>22</v>
      </c>
      <c r="F19" s="14" t="n">
        <f aca="false">SUM(F5:F17)</f>
        <v>58</v>
      </c>
    </row>
  </sheetData>
  <conditionalFormatting sqref="C5:C17">
    <cfRule type="cellIs" priority="2" operator="equal" aboveAverage="0" equalAverage="0" bottom="0" percent="0" rank="0" text="" dxfId="9">
      <formula>"Critical"</formula>
    </cfRule>
    <cfRule type="cellIs" priority="3" operator="equal" aboveAverage="0" equalAverage="0" bottom="0" percent="0" rank="0" text="" dxfId="10">
      <formula>"High"</formula>
    </cfRule>
    <cfRule type="cellIs" priority="4" operator="equal" aboveAverage="0" equalAverage="0" bottom="0" percent="0" rank="0" text="" dxfId="11">
      <formula>"Medium"</formula>
    </cfRule>
    <cfRule type="cellIs" priority="5" operator="equal" aboveAverage="0" equalAverage="0" bottom="0" percent="0" rank="0" text="" dxfId="12">
      <formula>"Low"</formula>
    </cfRule>
  </conditionalFormatting>
  <dataValidations count="2">
    <dataValidation allowBlank="true" errorStyle="stop" operator="between" showDropDown="false" showErrorMessage="false" showInputMessage="false" sqref="C5:C17" type="list">
      <formula1>Lists!$C$4:$C$7</formula1>
      <formula2>0</formula2>
    </dataValidation>
    <dataValidation allowBlank="true" errorStyle="stop" operator="between" showDropDown="false" showErrorMessage="false" showInputMessage="false" sqref="H5:I17" type="list">
      <formula1>Lists!$D$4:$D$6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1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1" style="0" width="22"/>
  </cols>
  <sheetData>
    <row r="1" customFormat="false" ht="17.35" hidden="false" customHeight="false" outlineLevel="0" collapsed="false">
      <c r="A1" s="16" t="s">
        <v>700</v>
      </c>
    </row>
    <row r="3" customFormat="false" ht="15" hidden="false" customHeight="false" outlineLevel="0" collapsed="false">
      <c r="A3" s="6" t="s">
        <v>701</v>
      </c>
      <c r="B3" s="6" t="s">
        <v>702</v>
      </c>
      <c r="C3" s="6" t="s">
        <v>703</v>
      </c>
      <c r="D3" s="6" t="s">
        <v>704</v>
      </c>
      <c r="E3" s="6" t="s">
        <v>59</v>
      </c>
      <c r="F3" s="6" t="s">
        <v>705</v>
      </c>
      <c r="G3" s="6" t="s">
        <v>281</v>
      </c>
      <c r="H3" s="6" t="s">
        <v>706</v>
      </c>
    </row>
    <row r="4" customFormat="false" ht="15" hidden="false" customHeight="false" outlineLevel="0" collapsed="false">
      <c r="A4" s="2" t="s">
        <v>11</v>
      </c>
      <c r="B4" s="2" t="s">
        <v>248</v>
      </c>
      <c r="C4" s="2" t="s">
        <v>38</v>
      </c>
      <c r="D4" s="2" t="s">
        <v>531</v>
      </c>
      <c r="E4" s="2" t="s">
        <v>9</v>
      </c>
      <c r="F4" s="2" t="s">
        <v>583</v>
      </c>
      <c r="G4" s="2" t="s">
        <v>69</v>
      </c>
      <c r="H4" s="2" t="s">
        <v>583</v>
      </c>
    </row>
    <row r="5" customFormat="false" ht="15" hidden="false" customHeight="false" outlineLevel="0" collapsed="false">
      <c r="A5" s="2" t="s">
        <v>30</v>
      </c>
      <c r="B5" s="2" t="s">
        <v>30</v>
      </c>
      <c r="C5" s="2" t="s">
        <v>39</v>
      </c>
      <c r="D5" s="2" t="s">
        <v>305</v>
      </c>
      <c r="E5" s="2" t="s">
        <v>10</v>
      </c>
      <c r="F5" s="2" t="s">
        <v>707</v>
      </c>
      <c r="G5" s="2" t="s">
        <v>75</v>
      </c>
      <c r="H5" s="2" t="s">
        <v>304</v>
      </c>
    </row>
    <row r="6" customFormat="false" ht="15" hidden="false" customHeight="false" outlineLevel="0" collapsed="false">
      <c r="A6" s="2" t="s">
        <v>708</v>
      </c>
      <c r="B6" s="2" t="s">
        <v>32</v>
      </c>
      <c r="C6" s="2" t="s">
        <v>40</v>
      </c>
      <c r="D6" s="2" t="s">
        <v>709</v>
      </c>
      <c r="F6" s="2" t="s">
        <v>45</v>
      </c>
      <c r="G6" s="2" t="s">
        <v>120</v>
      </c>
      <c r="H6" s="2" t="s">
        <v>45</v>
      </c>
    </row>
    <row r="7" customFormat="false" ht="15" hidden="false" customHeight="false" outlineLevel="0" collapsed="false">
      <c r="A7" s="2" t="s">
        <v>18</v>
      </c>
      <c r="B7" s="2" t="s">
        <v>28</v>
      </c>
      <c r="C7" s="2" t="s">
        <v>41</v>
      </c>
      <c r="G7" s="2" t="s">
        <v>132</v>
      </c>
      <c r="H7" s="2" t="s">
        <v>710</v>
      </c>
    </row>
    <row r="8" customFormat="false" ht="15" hidden="false" customHeight="false" outlineLevel="0" collapsed="false">
      <c r="G8" s="2" t="s">
        <v>87</v>
      </c>
    </row>
    <row r="9" customFormat="false" ht="15" hidden="false" customHeight="false" outlineLevel="0" collapsed="false">
      <c r="G9" s="2" t="s">
        <v>164</v>
      </c>
    </row>
    <row r="10" customFormat="false" ht="15" hidden="false" customHeight="false" outlineLevel="0" collapsed="false">
      <c r="G10" s="2" t="s">
        <v>152</v>
      </c>
    </row>
    <row r="11" customFormat="false" ht="15" hidden="false" customHeight="false" outlineLevel="0" collapsed="false">
      <c r="G11" s="2" t="s">
        <v>126</v>
      </c>
    </row>
    <row r="12" customFormat="false" ht="15" hidden="false" customHeight="false" outlineLevel="0" collapsed="false">
      <c r="G12" s="2" t="s">
        <v>83</v>
      </c>
    </row>
    <row r="13" customFormat="false" ht="15" hidden="false" customHeight="false" outlineLevel="0" collapsed="false">
      <c r="G13" s="2" t="s">
        <v>79</v>
      </c>
    </row>
    <row r="14" customFormat="false" ht="15" hidden="false" customHeight="false" outlineLevel="0" collapsed="false">
      <c r="A14" s="3" t="s">
        <v>711</v>
      </c>
      <c r="G14" s="2" t="s">
        <v>105</v>
      </c>
    </row>
    <row r="15" customFormat="false" ht="15" hidden="false" customHeight="false" outlineLevel="0" collapsed="false">
      <c r="A15" s="2" t="s">
        <v>712</v>
      </c>
      <c r="G15" s="2" t="s">
        <v>101</v>
      </c>
    </row>
    <row r="16" customFormat="false" ht="15" hidden="false" customHeight="false" outlineLevel="0" collapsed="false">
      <c r="A16" s="2" t="s">
        <v>713</v>
      </c>
      <c r="G16" s="2" t="s">
        <v>97</v>
      </c>
    </row>
    <row r="17" customFormat="false" ht="15" hidden="false" customHeight="false" outlineLevel="0" collapsed="false">
      <c r="A17" s="2" t="s">
        <v>714</v>
      </c>
    </row>
    <row r="18" customFormat="false" ht="15" hidden="false" customHeight="false" outlineLevel="0" collapsed="false">
      <c r="A18" s="2" t="s">
        <v>715</v>
      </c>
    </row>
    <row r="19" customFormat="false" ht="15" hidden="false" customHeight="false" outlineLevel="0" collapsed="false">
      <c r="A19" s="2" t="s">
        <v>716</v>
      </c>
    </row>
    <row r="20" customFormat="false" ht="15" hidden="false" customHeight="false" outlineLevel="0" collapsed="false">
      <c r="A20" s="2" t="s">
        <v>717</v>
      </c>
    </row>
    <row r="21" customFormat="false" ht="15" hidden="false" customHeight="false" outlineLevel="0" collapsed="false">
      <c r="A21" s="2" t="s">
        <v>718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2026-10-14T13:34:06Z</dcterms:created>
  <dc:creator>openpyxl</dc:creator>
  <dc:description/>
  <dc:language>en-US</dc:language>
  <cp:lastModifiedBy/>
  <dcterms:modified xsi:type="dcterms:W3CDTF">2026-10-14T13:34:09Z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